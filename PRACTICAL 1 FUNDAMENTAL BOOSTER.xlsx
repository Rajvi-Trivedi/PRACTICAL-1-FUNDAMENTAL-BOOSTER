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enovo\Downloads\Excel--main\Excel--main\"/>
    </mc:Choice>
  </mc:AlternateContent>
  <xr:revisionPtr revIDLastSave="0" documentId="13_ncr:1_{5537D67B-FCAD-49F7-B987-EBDFE8F8600C}" xr6:coauthVersionLast="47" xr6:coauthVersionMax="47" xr10:uidLastSave="{00000000-0000-0000-0000-000000000000}"/>
  <bookViews>
    <workbookView xWindow="-108" yWindow="-108" windowWidth="23256" windowHeight="12456" xr2:uid="{00000000-000D-0000-FFFF-FFFF00000000}"/>
  </bookViews>
  <sheets>
    <sheet name="Project Instructions" sheetId="1" r:id="rId1"/>
    <sheet name="Students (Grade)" sheetId="2" r:id="rId2"/>
    <sheet name="Sales(Data)" sheetId="3" r:id="rId3"/>
    <sheet name="Vlookup Refference" sheetId="5" r:id="rId4"/>
    <sheet name="Employee Data" sheetId="4" r:id="rId5"/>
  </sheets>
  <calcPr calcId="191029"/>
</workbook>
</file>

<file path=xl/calcChain.xml><?xml version="1.0" encoding="utf-8"?>
<calcChain xmlns="http://schemas.openxmlformats.org/spreadsheetml/2006/main">
  <c r="H3" i="4" l="1"/>
  <c r="H4" i="4"/>
  <c r="H5" i="4"/>
  <c r="H6" i="4"/>
  <c r="H7" i="4"/>
  <c r="H8" i="4"/>
  <c r="H9" i="4"/>
  <c r="H10" i="4"/>
  <c r="H11" i="4"/>
  <c r="H12" i="4"/>
  <c r="H13" i="4"/>
  <c r="H14" i="4"/>
  <c r="H15" i="4"/>
  <c r="H16" i="4"/>
  <c r="H17" i="4"/>
  <c r="H18" i="4"/>
  <c r="H19" i="4"/>
  <c r="H20" i="4"/>
  <c r="H21" i="4"/>
  <c r="H2" i="4"/>
  <c r="H25" i="4"/>
  <c r="H26" i="4"/>
  <c r="H27" i="4"/>
  <c r="H24" i="4"/>
  <c r="E25" i="4"/>
  <c r="E26" i="4"/>
  <c r="E27" i="4"/>
  <c r="E24" i="4"/>
  <c r="G3" i="4"/>
  <c r="G4" i="4"/>
  <c r="G5" i="4"/>
  <c r="G6" i="4"/>
  <c r="G7" i="4"/>
  <c r="G8" i="4"/>
  <c r="G9" i="4"/>
  <c r="G10" i="4"/>
  <c r="G11" i="4"/>
  <c r="G12" i="4"/>
  <c r="G13" i="4"/>
  <c r="G14" i="4"/>
  <c r="G15" i="4"/>
  <c r="G16" i="4"/>
  <c r="G17" i="4"/>
  <c r="G18" i="4"/>
  <c r="G19" i="4"/>
  <c r="G20" i="4"/>
  <c r="G21" i="4"/>
  <c r="G2" i="4"/>
  <c r="B26" i="4"/>
  <c r="B27" i="4"/>
  <c r="B25" i="4"/>
  <c r="B12" i="5"/>
  <c r="B11" i="5"/>
  <c r="E11" i="5"/>
  <c r="N3" i="3"/>
  <c r="N4" i="3"/>
  <c r="N5" i="3"/>
  <c r="N6" i="3"/>
  <c r="N7" i="3"/>
  <c r="N8" i="3"/>
  <c r="N9" i="3"/>
  <c r="N10" i="3"/>
  <c r="N11" i="3"/>
  <c r="N12" i="3"/>
  <c r="N13" i="3"/>
  <c r="N14" i="3"/>
  <c r="N15" i="3"/>
  <c r="N16" i="3"/>
  <c r="N17" i="3"/>
  <c r="N18" i="3"/>
  <c r="N19" i="3"/>
  <c r="N20" i="3"/>
  <c r="N21" i="3"/>
  <c r="M3" i="3"/>
  <c r="M4" i="3"/>
  <c r="M5" i="3"/>
  <c r="M6" i="3"/>
  <c r="M7" i="3"/>
  <c r="M8" i="3"/>
  <c r="M9" i="3"/>
  <c r="M10" i="3"/>
  <c r="M11" i="3"/>
  <c r="M12" i="3"/>
  <c r="M13" i="3"/>
  <c r="M14" i="3"/>
  <c r="M15" i="3"/>
  <c r="M16" i="3"/>
  <c r="M17" i="3"/>
  <c r="M18" i="3"/>
  <c r="M19" i="3"/>
  <c r="M20" i="3"/>
  <c r="M21" i="3"/>
  <c r="L3" i="3"/>
  <c r="L4" i="3"/>
  <c r="L5" i="3"/>
  <c r="L6" i="3"/>
  <c r="L7" i="3"/>
  <c r="L8" i="3"/>
  <c r="L9" i="3"/>
  <c r="L10" i="3"/>
  <c r="L11" i="3"/>
  <c r="L12" i="3"/>
  <c r="L13" i="3"/>
  <c r="L14" i="3"/>
  <c r="L15" i="3"/>
  <c r="L16" i="3"/>
  <c r="L17" i="3"/>
  <c r="L18" i="3"/>
  <c r="L19" i="3"/>
  <c r="L20" i="3"/>
  <c r="L21" i="3"/>
  <c r="N2" i="3"/>
  <c r="M2" i="3"/>
  <c r="L2" i="3"/>
  <c r="H3" i="3"/>
  <c r="H4" i="3"/>
  <c r="H5" i="3"/>
  <c r="H6" i="3"/>
  <c r="H7" i="3"/>
  <c r="H8" i="3"/>
  <c r="H9" i="3"/>
  <c r="H10" i="3"/>
  <c r="H11" i="3"/>
  <c r="H12" i="3"/>
  <c r="H13" i="3"/>
  <c r="H14" i="3"/>
  <c r="H15" i="3"/>
  <c r="H16" i="3"/>
  <c r="H17" i="3"/>
  <c r="H18" i="3"/>
  <c r="H19" i="3"/>
  <c r="H20" i="3"/>
  <c r="H21" i="3"/>
  <c r="H2" i="3"/>
  <c r="I3" i="3"/>
  <c r="I4" i="3"/>
  <c r="I5" i="3"/>
  <c r="I6" i="3"/>
  <c r="I7" i="3"/>
  <c r="I8" i="3"/>
  <c r="I9" i="3"/>
  <c r="I10" i="3"/>
  <c r="I11" i="3"/>
  <c r="I12" i="3"/>
  <c r="I13" i="3"/>
  <c r="I14" i="3"/>
  <c r="I15" i="3"/>
  <c r="I16" i="3"/>
  <c r="I17" i="3"/>
  <c r="I18" i="3"/>
  <c r="I19" i="3"/>
  <c r="I20" i="3"/>
  <c r="I21" i="3"/>
  <c r="I2" i="3"/>
  <c r="L25" i="3"/>
  <c r="E29" i="3"/>
  <c r="E12" i="5"/>
  <c r="J25" i="3"/>
  <c r="H27" i="3"/>
  <c r="H26" i="3"/>
  <c r="H25" i="3"/>
  <c r="J3" i="3"/>
  <c r="J4" i="3"/>
  <c r="J5" i="3"/>
  <c r="J6" i="3"/>
  <c r="J7" i="3"/>
  <c r="J8" i="3"/>
  <c r="J9" i="3"/>
  <c r="J10" i="3"/>
  <c r="J11" i="3"/>
  <c r="J12" i="3"/>
  <c r="J13" i="3"/>
  <c r="J14" i="3"/>
  <c r="J15" i="3"/>
  <c r="J16" i="3"/>
  <c r="J17" i="3"/>
  <c r="J18" i="3"/>
  <c r="J19" i="3"/>
  <c r="J20" i="3"/>
  <c r="J21" i="3"/>
  <c r="J2" i="3"/>
  <c r="E28" i="3"/>
  <c r="E26" i="3"/>
  <c r="E27" i="3"/>
  <c r="E25" i="3"/>
  <c r="B25" i="3"/>
  <c r="B28" i="3"/>
  <c r="B27" i="3"/>
  <c r="B26" i="3"/>
  <c r="D25" i="2"/>
  <c r="K3" i="2"/>
  <c r="K4" i="2"/>
  <c r="K5" i="2"/>
  <c r="K6" i="2"/>
  <c r="K7" i="2"/>
  <c r="K8" i="2"/>
  <c r="K9" i="2"/>
  <c r="K10" i="2"/>
  <c r="K11" i="2"/>
  <c r="K12" i="2"/>
  <c r="K13" i="2"/>
  <c r="K14" i="2"/>
  <c r="K15" i="2"/>
  <c r="K16" i="2"/>
  <c r="K17" i="2"/>
  <c r="K18" i="2"/>
  <c r="K19" i="2"/>
  <c r="K20" i="2"/>
  <c r="K21" i="2"/>
  <c r="K2" i="2"/>
  <c r="H3" i="2"/>
  <c r="J3" i="2" s="1"/>
  <c r="I3" i="2" s="1"/>
  <c r="H4" i="2"/>
  <c r="J4" i="2" s="1"/>
  <c r="I4" i="2" s="1"/>
  <c r="H5" i="2"/>
  <c r="J5" i="2" s="1"/>
  <c r="I5" i="2" s="1"/>
  <c r="H6" i="2"/>
  <c r="J6" i="2" s="1"/>
  <c r="I6" i="2" s="1"/>
  <c r="H7" i="2"/>
  <c r="J7" i="2" s="1"/>
  <c r="I7" i="2" s="1"/>
  <c r="H8" i="2"/>
  <c r="J8" i="2" s="1"/>
  <c r="I8" i="2" s="1"/>
  <c r="H9" i="2"/>
  <c r="J9" i="2" s="1"/>
  <c r="I9" i="2" s="1"/>
  <c r="H10" i="2"/>
  <c r="J10" i="2" s="1"/>
  <c r="I10" i="2" s="1"/>
  <c r="H11" i="2"/>
  <c r="J11" i="2" s="1"/>
  <c r="I11" i="2" s="1"/>
  <c r="H12" i="2"/>
  <c r="J12" i="2" s="1"/>
  <c r="I12" i="2" s="1"/>
  <c r="H13" i="2"/>
  <c r="J13" i="2" s="1"/>
  <c r="I13" i="2" s="1"/>
  <c r="H14" i="2"/>
  <c r="J14" i="2" s="1"/>
  <c r="I14" i="2" s="1"/>
  <c r="H15" i="2"/>
  <c r="J15" i="2" s="1"/>
  <c r="I15" i="2" s="1"/>
  <c r="H16" i="2"/>
  <c r="J16" i="2" s="1"/>
  <c r="I16" i="2" s="1"/>
  <c r="H17" i="2"/>
  <c r="J17" i="2" s="1"/>
  <c r="I17" i="2" s="1"/>
  <c r="H18" i="2"/>
  <c r="J18" i="2" s="1"/>
  <c r="I18" i="2" s="1"/>
  <c r="H19" i="2"/>
  <c r="J19" i="2" s="1"/>
  <c r="I19" i="2" s="1"/>
  <c r="H20" i="2"/>
  <c r="J20" i="2" s="1"/>
  <c r="I20" i="2" s="1"/>
  <c r="H21" i="2"/>
  <c r="J21" i="2" s="1"/>
  <c r="H2" i="2"/>
  <c r="J2" i="2" s="1"/>
  <c r="G25" i="2" s="1"/>
  <c r="I21" i="2" l="1"/>
  <c r="I2" i="2"/>
  <c r="J25" i="2" a="1"/>
  <c r="J26" i="2" s="1"/>
  <c r="L26" i="2" l="1"/>
  <c r="M26" i="2"/>
  <c r="J25" i="2"/>
  <c r="A25" i="2" s="1"/>
  <c r="K25" i="2"/>
  <c r="M25" i="2"/>
  <c r="K26" i="2"/>
  <c r="L25" i="2"/>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<sst xmlns="http://schemas.openxmlformats.org/spreadsheetml/2006/main" count="249" uniqueCount="176">
  <si>
    <t>Relative &amp; Absolute Cell References, Formatting, and Data Input</t>
  </si>
  <si>
    <t>Enter and format data (bold, italic, currency, date, custom formats).</t>
  </si>
  <si>
    <t>Use absolute ($A$1) and relative (A1) references in formulas.</t>
  </si>
  <si>
    <t>Using IF Formula &amp; Nesting IF Formulas</t>
  </si>
  <si>
    <t>Classify students' grades based on their scores.</t>
  </si>
  <si>
    <t>Compute discounts for sales based on price thresholds.</t>
  </si>
  <si>
    <t>Using IF with AND/OR Formulas</t>
  </si>
  <si>
    <t>Identify students who scored above 80 in both Math &amp; Science using IF(AND(...)).</t>
  </si>
  <si>
    <t>Determine whether a product is eligible for discount using IF(OR(...)).</t>
  </si>
  <si>
    <t>COUNTIFS, SUMIFS, AVERAGEIFS</t>
  </si>
  <si>
    <t>Count the number of students who scored above 50 in Math.</t>
  </si>
  <si>
    <t>Sum total sales for a specific region and product.</t>
  </si>
  <si>
    <t>Calculate the average score for students who scored above 60.</t>
  </si>
  <si>
    <t>VLOOKUP Function</t>
  </si>
  <si>
    <t>Fetch student names based on ID from a separate dataset.</t>
  </si>
  <si>
    <t>Retrieve product prices based on product codes.</t>
  </si>
  <si>
    <t>INDEX and MATCH Functions</t>
  </si>
  <si>
    <t>Find sales values for a specific salesperson in a specific month.</t>
  </si>
  <si>
    <t>Look up employee details dynamically without column restrictions.</t>
  </si>
  <si>
    <t>Excel TEXT Functions</t>
  </si>
  <si>
    <t>Extract the first name from full names using LEFT and FIND.</t>
  </si>
  <si>
    <t>Convert names to uppercase/lowercase using UPPER(), LOWER().</t>
  </si>
  <si>
    <t>XLOOKUP Function</t>
  </si>
  <si>
    <t>Search for salesperson performance based on flexible search criteria.</t>
  </si>
  <si>
    <t>Find employee salaries without worrying about sorted data.</t>
  </si>
  <si>
    <t>XMATCH Function</t>
  </si>
  <si>
    <t>Find the position of a product in a sales list.</t>
  </si>
  <si>
    <t>INDIRECT Function</t>
  </si>
  <si>
    <t>Dynamically reference a cell range using INDIRECT.</t>
  </si>
  <si>
    <t>OFFSET Function</t>
  </si>
  <si>
    <t>Create dynamic ranges for sales trends.</t>
  </si>
  <si>
    <t>Date and Time Functions</t>
  </si>
  <si>
    <t>Calculate age from date of birth.</t>
  </si>
  <si>
    <t>Find the difference in days between two dates.</t>
  </si>
  <si>
    <t>Math Functions</t>
  </si>
  <si>
    <t>Use ROUND(), CEILING(), and FLOOR() for financial calculations.</t>
  </si>
  <si>
    <t>Return Multiple Values using FILTER Function</t>
  </si>
  <si>
    <t>Extract a list of top-performing students based on scores.</t>
  </si>
  <si>
    <t>Student ID</t>
  </si>
  <si>
    <t>Name</t>
  </si>
  <si>
    <t>Math</t>
  </si>
  <si>
    <t>Science</t>
  </si>
  <si>
    <t>English</t>
  </si>
  <si>
    <t>Enrollment Date</t>
  </si>
  <si>
    <t>Student 1</t>
  </si>
  <si>
    <t>Student 2</t>
  </si>
  <si>
    <t>Student 3</t>
  </si>
  <si>
    <t>Student 4</t>
  </si>
  <si>
    <t>Student 5</t>
  </si>
  <si>
    <t>Student 6</t>
  </si>
  <si>
    <t>Student 7</t>
  </si>
  <si>
    <t>Student 8</t>
  </si>
  <si>
    <t>Student 9</t>
  </si>
  <si>
    <t>Student 10</t>
  </si>
  <si>
    <t>Student 11</t>
  </si>
  <si>
    <t>Student 12</t>
  </si>
  <si>
    <t>Student 13</t>
  </si>
  <si>
    <t>Student 14</t>
  </si>
  <si>
    <t>Student 15</t>
  </si>
  <si>
    <t>Student 16</t>
  </si>
  <si>
    <t>Student 17</t>
  </si>
  <si>
    <t>Student 18</t>
  </si>
  <si>
    <t>Student 19</t>
  </si>
  <si>
    <t>Student 20</t>
  </si>
  <si>
    <t>Sales ID</t>
  </si>
  <si>
    <t>Product</t>
  </si>
  <si>
    <t>Region</t>
  </si>
  <si>
    <t>Salesperson</t>
  </si>
  <si>
    <t>Amount</t>
  </si>
  <si>
    <t>Date</t>
  </si>
  <si>
    <t>Keyboard</t>
  </si>
  <si>
    <t>South</t>
  </si>
  <si>
    <t>Person 1</t>
  </si>
  <si>
    <t>Printer</t>
  </si>
  <si>
    <t>West</t>
  </si>
  <si>
    <t>Person 2</t>
  </si>
  <si>
    <t>Mouse</t>
  </si>
  <si>
    <t>Person 3</t>
  </si>
  <si>
    <t>East</t>
  </si>
  <si>
    <t>Person 4</t>
  </si>
  <si>
    <t>North</t>
  </si>
  <si>
    <t>Person 5</t>
  </si>
  <si>
    <t>Person 6</t>
  </si>
  <si>
    <t>Person 7</t>
  </si>
  <si>
    <t>Person 8</t>
  </si>
  <si>
    <t>Person 9</t>
  </si>
  <si>
    <t>Person 10</t>
  </si>
  <si>
    <t>Person 11</t>
  </si>
  <si>
    <t>Monitor</t>
  </si>
  <si>
    <t>Person 12</t>
  </si>
  <si>
    <t>Laptop</t>
  </si>
  <si>
    <t>Person 13</t>
  </si>
  <si>
    <t>Person 14</t>
  </si>
  <si>
    <t>Person 15</t>
  </si>
  <si>
    <t>Person 16</t>
  </si>
  <si>
    <t>Person 17</t>
  </si>
  <si>
    <t>Person 18</t>
  </si>
  <si>
    <t>Person 19</t>
  </si>
  <si>
    <t>Person 20</t>
  </si>
  <si>
    <t>Employee ID</t>
  </si>
  <si>
    <t>Department</t>
  </si>
  <si>
    <t>Salary</t>
  </si>
  <si>
    <t>Joining Date</t>
  </si>
  <si>
    <t>Employee 1</t>
  </si>
  <si>
    <t>Finance</t>
  </si>
  <si>
    <t>Employee 2</t>
  </si>
  <si>
    <t>Employee 3</t>
  </si>
  <si>
    <t>HR</t>
  </si>
  <si>
    <t>Employee 4</t>
  </si>
  <si>
    <t>Employee 5</t>
  </si>
  <si>
    <t>IT</t>
  </si>
  <si>
    <t>Employee 6</t>
  </si>
  <si>
    <t>Employee 7</t>
  </si>
  <si>
    <t>Marketing</t>
  </si>
  <si>
    <t>Employee 8</t>
  </si>
  <si>
    <t>Employee 9</t>
  </si>
  <si>
    <t>Employee 10</t>
  </si>
  <si>
    <t>Employee 11</t>
  </si>
  <si>
    <t>Employee 12</t>
  </si>
  <si>
    <t>Employee 13</t>
  </si>
  <si>
    <t>Employee 14</t>
  </si>
  <si>
    <t>Employee 15</t>
  </si>
  <si>
    <t>Employee 16</t>
  </si>
  <si>
    <t>Employee 17</t>
  </si>
  <si>
    <t>Employee 18</t>
  </si>
  <si>
    <t>Employee 19</t>
  </si>
  <si>
    <t>Employee 20</t>
  </si>
  <si>
    <t>Total Marks</t>
  </si>
  <si>
    <t>Grade</t>
  </si>
  <si>
    <t>Percentage</t>
  </si>
  <si>
    <t>Students scoring above 60%</t>
  </si>
  <si>
    <t>Students scoring more than 80 in Maths and Science</t>
  </si>
  <si>
    <t>Students scoring More than 50 in maths</t>
  </si>
  <si>
    <t>Avegrage score of students have more then 60%</t>
  </si>
  <si>
    <t>Top performing students</t>
  </si>
  <si>
    <t>Discount</t>
  </si>
  <si>
    <t>Discount Eligibility</t>
  </si>
  <si>
    <t>Total Sum According to region</t>
  </si>
  <si>
    <t>Month-Year</t>
  </si>
  <si>
    <t>Xlookup for sales</t>
  </si>
  <si>
    <t>Product Code</t>
  </si>
  <si>
    <t>Product Name</t>
  </si>
  <si>
    <t>Unit Price</t>
  </si>
  <si>
    <t>P001</t>
  </si>
  <si>
    <t>P003</t>
  </si>
  <si>
    <t>P002</t>
  </si>
  <si>
    <t>Product Name:</t>
  </si>
  <si>
    <t>Unit Price:</t>
  </si>
  <si>
    <t>P004</t>
  </si>
  <si>
    <t>P005</t>
  </si>
  <si>
    <t>Product Code:</t>
  </si>
  <si>
    <t>Total Sales</t>
  </si>
  <si>
    <t>Roundup Amount</t>
  </si>
  <si>
    <t>Celing amount</t>
  </si>
  <si>
    <t>Floor</t>
  </si>
  <si>
    <t>Student ID:</t>
  </si>
  <si>
    <t>Student Name:</t>
  </si>
  <si>
    <t>Student Grade:</t>
  </si>
  <si>
    <t>Student Vlookup</t>
  </si>
  <si>
    <t>Product Vlookup</t>
  </si>
  <si>
    <t>Emp Name:</t>
  </si>
  <si>
    <t>Emp Salary:</t>
  </si>
  <si>
    <t>Emp Dept:</t>
  </si>
  <si>
    <t>Emp Id:</t>
  </si>
  <si>
    <t>Bonus Eligibility</t>
  </si>
  <si>
    <t>Hr</t>
  </si>
  <si>
    <t xml:space="preserve"> </t>
  </si>
  <si>
    <t>Years or Service</t>
  </si>
  <si>
    <r>
      <rPr>
        <b/>
        <sz val="12"/>
        <color rgb="FF000000"/>
        <rFont val="Arial"/>
        <family val="2"/>
      </rPr>
      <t xml:space="preserve">Topics:
</t>
    </r>
    <r>
      <rPr>
        <sz val="12"/>
        <color rgb="FF000000"/>
        <rFont val="Arial"/>
        <family val="2"/>
      </rPr>
      <t xml:space="preserve"> -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t>
    </r>
    <r>
      <rPr>
        <b/>
        <sz val="12"/>
        <color rgb="FF000000"/>
        <rFont val="Arial"/>
        <family val="2"/>
      </rPr>
      <t xml:space="preserve">
</t>
    </r>
    <r>
      <rPr>
        <sz val="12"/>
        <color rgb="FF000000"/>
        <rFont val="Arial"/>
        <family val="2"/>
      </rPr>
      <t xml:space="preserve">  
</t>
    </r>
    <r>
      <rPr>
        <b/>
        <sz val="12"/>
        <color rgb="FF38761D"/>
        <rFont val="Arial"/>
        <family val="2"/>
      </rPr>
      <t>Main Tasks:</t>
    </r>
    <r>
      <rPr>
        <sz val="12"/>
        <color rgb="FF38761D"/>
        <rFont val="Arial"/>
        <family val="2"/>
      </rPr>
      <t xml:space="preserve">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t>
    </r>
    <r>
      <rPr>
        <sz val="12"/>
        <color rgb="FF000000"/>
        <rFont val="Arial"/>
        <family val="2"/>
      </rPr>
      <t xml:space="preserve">
</t>
    </r>
    <r>
      <rPr>
        <b/>
        <sz val="12"/>
        <color rgb="FF000000"/>
        <rFont val="Arial"/>
        <family val="2"/>
      </rPr>
      <t xml:space="preserve">Deliverable:
</t>
    </r>
    <r>
      <rPr>
        <sz val="12"/>
        <color rgb="FF000000"/>
        <rFont val="Arial"/>
        <family val="2"/>
      </rPr>
      <t>Complete the given worksheets by applying the required formulas in respective sheets.</t>
    </r>
  </si>
  <si>
    <t>PRACTICAL 1 FUNDAMENTAL BOOSTER</t>
  </si>
  <si>
    <t>ESSENTIAL TASKS</t>
  </si>
  <si>
    <t>Total Sum Of Product</t>
  </si>
  <si>
    <t xml:space="preserve"> Laptop Position</t>
  </si>
  <si>
    <t xml:space="preserve">Total Salary </t>
  </si>
  <si>
    <t>Number of employees having salary &gt; 50K</t>
  </si>
  <si>
    <t>Emp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</si>
</sst>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5" x14ac:knownFonts="1">
    <font>
      <sz val="11"/>
      <color theme="1"/>
      <name val="Calibri"/>
      <scheme val="minor"/>
    </font>
    <font>
      <sz val="11"/>
      <color theme="1"/>
      <name val="Calibri"/>
      <family val="2"/>
      <scheme val="minor"/>
    </font>
    <font>
      <sz val="11"/>
      <color theme="1"/>
      <name val="Calibri"/>
      <family val="2"/>
      <scheme val="minor"/>
    </font>
    <font>
      <sz val="11"/>
      <color theme="1"/>
      <name val="Calibri"/>
      <scheme val="minor"/>
    </font>
    <font>
      <sz val="11"/>
      <color rgb="FF000000"/>
      <name val="Calibri"/>
    </font>
    <font>
      <b/>
      <sz val="11"/>
      <color rgb="FF000000"/>
      <name val="Calibri"/>
    </font>
    <font>
      <b/>
      <sz val="11"/>
      <color theme="1"/>
      <name val="Calibri"/>
      <family val="2"/>
      <scheme val="minor"/>
    </font>
    <font>
      <b/>
      <sz val="11"/>
      <color rgb="FF000000"/>
      <name val="Calibri"/>
      <family val="2"/>
    </font>
    <font>
      <b/>
      <sz val="11"/>
      <name val="Calibri"/>
      <family val="2"/>
      <scheme val="minor"/>
    </font>
    <font>
      <b/>
      <sz val="12"/>
      <color theme="1"/>
      <name val="Arial"/>
      <family val="2"/>
    </font>
    <font>
      <sz val="12"/>
      <color rgb="FF000000"/>
      <name val="Arial"/>
      <family val="2"/>
    </font>
    <font>
      <b/>
      <sz val="12"/>
      <color rgb="FF000000"/>
      <name val="Arial"/>
      <family val="2"/>
    </font>
    <font>
      <b/>
      <sz val="12"/>
      <color rgb="FF38761D"/>
      <name val="Arial"/>
      <family val="2"/>
    </font>
    <font>
      <sz val="12"/>
      <color rgb="FF38761D"/>
      <name val="Arial"/>
      <family val="2"/>
    </font>
    <font>
      <sz val="12"/>
      <color theme="1"/>
      <name val="Arial"/>
      <family val="2"/>
    </font>
  </fonts>
  <fills count="17">
    <fill>
      <patternFill patternType="none"/>
    </fill>
    <fill>
      <patternFill patternType="gray125"/>
    </fill>
    <fill>
      <patternFill patternType="solid">
        <fgColor theme="0"/>
        <bgColor rgb="FFFFF2CC"/>
      </patternFill>
    </fill>
    <fill>
      <patternFill patternType="solid">
        <fgColor theme="7" tint="0.79998168889431442"/>
        <bgColor indexed="65"/>
      </patternFill>
    </fill>
    <fill>
      <patternFill patternType="solid">
        <fgColor theme="7" tint="0.59999389629810485"/>
        <bgColor rgb="FFFFF2CC"/>
      </patternFill>
    </fill>
    <fill>
      <patternFill patternType="solid">
        <fgColor theme="7" tint="0.79998168889431442"/>
        <bgColor indexed="64"/>
      </patternFill>
    </fill>
    <fill>
      <patternFill patternType="solid">
        <fgColor theme="7" tint="0.59999389629810485"/>
        <bgColor indexed="64"/>
      </patternFill>
    </fill>
    <fill>
      <patternFill patternType="solid">
        <fgColor theme="9" tint="0.79998168889431442"/>
        <bgColor rgb="FFFFF2CC"/>
      </patternFill>
    </fill>
    <fill>
      <patternFill patternType="solid">
        <fgColor theme="6" tint="0.79998168889431442"/>
        <bgColor rgb="FFFFF2CC"/>
      </patternFill>
    </fill>
    <fill>
      <patternFill patternType="solid">
        <fgColor theme="6"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rgb="FFCCE5FF"/>
      </patternFill>
    </fill>
    <fill>
      <patternFill patternType="solid">
        <fgColor rgb="FF92D050"/>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tint="0.59999389629810485"/>
        <bgColor rgb="FFFFF2CC"/>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right/>
      <top style="medium">
        <color indexed="64"/>
      </top>
      <bottom/>
      <diagonal/>
    </border>
    <border>
      <left/>
      <right/>
      <top/>
      <bottom style="medium">
        <color indexed="64"/>
      </bottom>
      <diagonal/>
    </border>
  </borders>
  <cellStyleXfs count="3">
    <xf numFmtId="0" fontId="0" fillId="0" borderId="0"/>
    <xf numFmtId="9" fontId="3" fillId="0" borderId="0" applyFont="0" applyFill="0" applyBorder="0" applyAlignment="0" applyProtection="0"/>
    <xf numFmtId="0" fontId="1" fillId="3" borderId="0" applyNumberFormat="0" applyBorder="0" applyAlignment="0" applyProtection="0"/>
  </cellStyleXfs>
  <cellXfs count="105">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4" fillId="0" borderId="1" xfId="0" applyFont="1" applyBorder="1" applyAlignment="1">
      <alignment horizontal="center" vertical="center"/>
    </xf>
    <xf numFmtId="0" fontId="7" fillId="2" borderId="0" xfId="0" applyFont="1" applyFill="1" applyAlignment="1">
      <alignment horizontal="center" vertical="center"/>
    </xf>
    <xf numFmtId="0" fontId="6" fillId="0" borderId="0" xfId="0" applyFont="1" applyAlignment="1">
      <alignment horizontal="center" vertical="center"/>
    </xf>
    <xf numFmtId="0" fontId="2" fillId="0" borderId="0" xfId="0" applyFont="1" applyAlignment="1">
      <alignment horizontal="center" vertical="center"/>
    </xf>
    <xf numFmtId="0" fontId="8" fillId="0" borderId="0" xfId="0" applyFont="1"/>
    <xf numFmtId="9" fontId="6" fillId="0" borderId="0" xfId="1" applyFont="1" applyAlignment="1">
      <alignment horizontal="center" vertical="center"/>
    </xf>
    <xf numFmtId="0" fontId="8" fillId="0" borderId="0" xfId="0" applyFont="1" applyAlignment="1">
      <alignment vertical="center"/>
    </xf>
    <xf numFmtId="0" fontId="6" fillId="0" borderId="0" xfId="0" applyFont="1" applyAlignment="1">
      <alignment horizontal="center" vertical="center"/>
    </xf>
    <xf numFmtId="9" fontId="6" fillId="0" borderId="0" xfId="1" applyFont="1" applyAlignment="1">
      <alignment horizontal="center" vertical="center"/>
    </xf>
    <xf numFmtId="0" fontId="9" fillId="4" borderId="1" xfId="0" applyFont="1" applyFill="1" applyBorder="1" applyAlignment="1">
      <alignment horizontal="center" vertical="center"/>
    </xf>
    <xf numFmtId="0" fontId="10" fillId="5" borderId="1" xfId="0" applyFont="1" applyFill="1" applyBorder="1" applyAlignment="1">
      <alignment vertical="center" wrapText="1"/>
    </xf>
    <xf numFmtId="0" fontId="14" fillId="0" borderId="0" xfId="0" applyFont="1" applyAlignment="1">
      <alignment vertical="center"/>
    </xf>
    <xf numFmtId="0" fontId="9" fillId="6" borderId="1" xfId="2" applyFont="1" applyFill="1" applyBorder="1" applyAlignment="1">
      <alignment horizontal="center" vertical="center"/>
    </xf>
    <xf numFmtId="0" fontId="14" fillId="3" borderId="1" xfId="2" applyFont="1" applyBorder="1" applyAlignment="1">
      <alignment vertical="center"/>
    </xf>
    <xf numFmtId="0" fontId="14" fillId="0" borderId="0" xfId="0" applyFont="1"/>
    <xf numFmtId="0" fontId="9" fillId="3" borderId="1" xfId="2" applyFont="1" applyBorder="1" applyAlignment="1">
      <alignment vertical="center"/>
    </xf>
    <xf numFmtId="0" fontId="6" fillId="6" borderId="2" xfId="0" applyFont="1" applyFill="1" applyBorder="1" applyAlignment="1">
      <alignment horizontal="center" vertical="center" wrapText="1"/>
    </xf>
    <xf numFmtId="0" fontId="6" fillId="6" borderId="2" xfId="0" applyFont="1" applyFill="1" applyBorder="1" applyAlignment="1">
      <alignment horizontal="center" vertical="center"/>
    </xf>
    <xf numFmtId="0" fontId="3" fillId="6" borderId="2" xfId="0" applyFont="1" applyFill="1" applyBorder="1" applyAlignment="1">
      <alignment horizontal="center" vertical="center"/>
    </xf>
    <xf numFmtId="0" fontId="4" fillId="0" borderId="2" xfId="0" applyFont="1" applyBorder="1" applyAlignment="1">
      <alignment horizontal="center" vertical="center"/>
    </xf>
    <xf numFmtId="0" fontId="6" fillId="9" borderId="2" xfId="0" applyFont="1" applyFill="1" applyBorder="1" applyAlignment="1">
      <alignment horizontal="center" vertical="center" wrapText="1"/>
    </xf>
    <xf numFmtId="0" fontId="3" fillId="0" borderId="2" xfId="0" applyFont="1" applyBorder="1" applyAlignment="1">
      <alignment horizontal="center" vertical="center"/>
    </xf>
    <xf numFmtId="9" fontId="3" fillId="0" borderId="2" xfId="1" applyFont="1" applyBorder="1" applyAlignment="1">
      <alignment horizontal="center" vertical="center"/>
    </xf>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5" xfId="0" applyFont="1" applyFill="1" applyBorder="1" applyAlignment="1">
      <alignment horizontal="center" vertical="center" wrapText="1"/>
    </xf>
    <xf numFmtId="0" fontId="3" fillId="0" borderId="6" xfId="0" applyFont="1" applyBorder="1" applyAlignment="1">
      <alignment horizontal="center" vertical="center"/>
    </xf>
    <xf numFmtId="0" fontId="0" fillId="0" borderId="7" xfId="0"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9" fontId="3" fillId="0" borderId="9" xfId="1" applyFont="1" applyBorder="1" applyAlignment="1">
      <alignment horizontal="center" vertical="center"/>
    </xf>
    <xf numFmtId="0" fontId="0" fillId="0" borderId="10" xfId="0" applyBorder="1" applyAlignment="1">
      <alignment horizontal="center" vertical="center"/>
    </xf>
    <xf numFmtId="0" fontId="5" fillId="8" borderId="3" xfId="0" applyFont="1" applyFill="1" applyBorder="1" applyAlignment="1">
      <alignment horizontal="center" vertical="center"/>
    </xf>
    <xf numFmtId="0" fontId="5" fillId="8" borderId="4" xfId="0" applyFont="1" applyFill="1" applyBorder="1" applyAlignment="1">
      <alignment horizontal="center" vertical="center"/>
    </xf>
    <xf numFmtId="0" fontId="7" fillId="8" borderId="5" xfId="0" applyFont="1" applyFill="1" applyBorder="1" applyAlignment="1">
      <alignment horizontal="center" vertical="center"/>
    </xf>
    <xf numFmtId="0" fontId="4" fillId="0" borderId="6" xfId="0" applyFont="1" applyBorder="1" applyAlignment="1">
      <alignment horizontal="center" vertical="center"/>
    </xf>
    <xf numFmtId="164" fontId="4" fillId="0" borderId="7" xfId="0" applyNumberFormat="1"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164" fontId="4" fillId="0" borderId="10" xfId="0" applyNumberFormat="1" applyFont="1" applyBorder="1" applyAlignment="1">
      <alignment horizontal="center" vertical="center"/>
    </xf>
    <xf numFmtId="0" fontId="6" fillId="11" borderId="11" xfId="0" applyFont="1" applyFill="1" applyBorder="1" applyAlignment="1">
      <alignment horizontal="center" vertical="center" wrapText="1"/>
    </xf>
    <xf numFmtId="0" fontId="6" fillId="11" borderId="12" xfId="0" applyFont="1" applyFill="1" applyBorder="1" applyAlignment="1">
      <alignment horizontal="center" vertical="center" wrapText="1"/>
    </xf>
    <xf numFmtId="0" fontId="6" fillId="10" borderId="13" xfId="0" applyFont="1" applyFill="1" applyBorder="1" applyAlignment="1">
      <alignment horizontal="center" vertical="center"/>
    </xf>
    <xf numFmtId="0" fontId="6" fillId="0" borderId="14" xfId="0" applyFont="1" applyBorder="1" applyAlignment="1">
      <alignment horizontal="center" vertical="center"/>
    </xf>
    <xf numFmtId="0" fontId="6" fillId="10" borderId="15" xfId="0" applyFont="1" applyFill="1" applyBorder="1" applyAlignment="1">
      <alignment horizontal="center" vertical="center"/>
    </xf>
    <xf numFmtId="0" fontId="6" fillId="0" borderId="16" xfId="0" applyFont="1" applyBorder="1" applyAlignment="1">
      <alignment horizontal="center" vertical="center"/>
    </xf>
    <xf numFmtId="0" fontId="6" fillId="11" borderId="11" xfId="0" applyFont="1" applyFill="1" applyBorder="1" applyAlignment="1">
      <alignment horizontal="center" vertical="center"/>
    </xf>
    <xf numFmtId="0" fontId="6" fillId="11" borderId="12" xfId="0" applyFont="1" applyFill="1" applyBorder="1" applyAlignment="1">
      <alignment horizontal="center" vertical="center"/>
    </xf>
    <xf numFmtId="0" fontId="6" fillId="10" borderId="13" xfId="0" applyFont="1" applyFill="1" applyBorder="1"/>
    <xf numFmtId="0" fontId="6" fillId="11" borderId="17" xfId="0" applyFont="1" applyFill="1" applyBorder="1" applyAlignment="1">
      <alignment horizontal="center" vertical="center"/>
    </xf>
    <xf numFmtId="0" fontId="6" fillId="0" borderId="18" xfId="0" applyFont="1" applyBorder="1"/>
    <xf numFmtId="0" fontId="6" fillId="0" borderId="18" xfId="0" applyFont="1" applyBorder="1" applyAlignment="1">
      <alignment horizontal="center" vertical="center"/>
    </xf>
    <xf numFmtId="0" fontId="5" fillId="7" borderId="19" xfId="0" applyFont="1" applyFill="1" applyBorder="1" applyAlignment="1">
      <alignment horizontal="center" vertical="center"/>
    </xf>
    <xf numFmtId="0" fontId="5" fillId="7" borderId="20" xfId="0" applyFont="1" applyFill="1" applyBorder="1" applyAlignment="1">
      <alignment horizontal="center" vertical="center"/>
    </xf>
    <xf numFmtId="0" fontId="5" fillId="7" borderId="21" xfId="0" applyFont="1" applyFill="1" applyBorder="1" applyAlignment="1">
      <alignment horizontal="center" vertical="center"/>
    </xf>
    <xf numFmtId="0" fontId="4" fillId="0" borderId="22" xfId="0" applyFont="1" applyBorder="1" applyAlignment="1">
      <alignment horizontal="center" vertical="center"/>
    </xf>
    <xf numFmtId="164" fontId="4" fillId="0" borderId="23" xfId="0" applyNumberFormat="1" applyFont="1" applyBorder="1" applyAlignment="1">
      <alignment horizontal="center" vertical="center"/>
    </xf>
    <xf numFmtId="0" fontId="4" fillId="0" borderId="24" xfId="0" applyFont="1" applyBorder="1" applyAlignment="1">
      <alignment horizontal="center" vertical="center"/>
    </xf>
    <xf numFmtId="0" fontId="4" fillId="0" borderId="25" xfId="0" applyFont="1" applyBorder="1" applyAlignment="1">
      <alignment horizontal="center" vertical="center"/>
    </xf>
    <xf numFmtId="164" fontId="4" fillId="0" borderId="26" xfId="0" applyNumberFormat="1" applyFont="1" applyBorder="1" applyAlignment="1">
      <alignment horizontal="center" vertical="center"/>
    </xf>
    <xf numFmtId="0" fontId="6" fillId="10" borderId="11" xfId="0" applyFont="1" applyFill="1" applyBorder="1" applyAlignment="1">
      <alignment horizontal="center" vertical="center"/>
    </xf>
    <xf numFmtId="0" fontId="6" fillId="10" borderId="27" xfId="0" applyFont="1" applyFill="1" applyBorder="1" applyAlignment="1">
      <alignment horizontal="center" vertical="center"/>
    </xf>
    <xf numFmtId="0" fontId="6" fillId="10" borderId="12" xfId="0" applyFont="1" applyFill="1" applyBorder="1"/>
    <xf numFmtId="9" fontId="3" fillId="0" borderId="13" xfId="1" applyFont="1" applyBorder="1" applyAlignment="1">
      <alignment horizontal="center" vertical="center"/>
    </xf>
    <xf numFmtId="0" fontId="3" fillId="0" borderId="0" xfId="0" applyFont="1" applyBorder="1" applyAlignment="1">
      <alignment horizontal="center" vertical="center"/>
    </xf>
    <xf numFmtId="0" fontId="0" fillId="0" borderId="14" xfId="0" applyBorder="1"/>
    <xf numFmtId="9" fontId="3" fillId="0" borderId="15" xfId="1" applyFont="1" applyBorder="1" applyAlignment="1">
      <alignment horizontal="center" vertical="center"/>
    </xf>
    <xf numFmtId="0" fontId="3" fillId="0" borderId="28" xfId="0" applyFont="1" applyBorder="1" applyAlignment="1">
      <alignment horizontal="center" vertical="center"/>
    </xf>
    <xf numFmtId="0" fontId="0" fillId="0" borderId="16" xfId="0" applyBorder="1"/>
    <xf numFmtId="0" fontId="6" fillId="10" borderId="12" xfId="0" applyFont="1" applyFill="1" applyBorder="1" applyAlignment="1">
      <alignment horizontal="center" vertical="center"/>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16" xfId="0" applyFont="1" applyBorder="1" applyAlignment="1">
      <alignment horizontal="center" vertical="center"/>
    </xf>
    <xf numFmtId="0" fontId="8" fillId="12" borderId="11" xfId="0" applyFont="1" applyFill="1" applyBorder="1"/>
    <xf numFmtId="0" fontId="8" fillId="12" borderId="27" xfId="0" applyFont="1" applyFill="1" applyBorder="1"/>
    <xf numFmtId="0" fontId="8" fillId="12" borderId="12" xfId="0" applyFont="1" applyFill="1" applyBorder="1"/>
    <xf numFmtId="0" fontId="0" fillId="0" borderId="13" xfId="0" applyBorder="1"/>
    <xf numFmtId="0" fontId="0" fillId="0" borderId="0" xfId="0" applyBorder="1"/>
    <xf numFmtId="0" fontId="0" fillId="0" borderId="15" xfId="0" applyBorder="1"/>
    <xf numFmtId="0" fontId="0" fillId="0" borderId="28" xfId="0" applyBorder="1"/>
    <xf numFmtId="0" fontId="6" fillId="13" borderId="11" xfId="0" applyFont="1" applyFill="1" applyBorder="1" applyAlignment="1">
      <alignment horizontal="center"/>
    </xf>
    <xf numFmtId="0" fontId="6" fillId="13" borderId="12" xfId="0" applyFont="1" applyFill="1" applyBorder="1" applyAlignment="1">
      <alignment horizontal="center"/>
    </xf>
    <xf numFmtId="0" fontId="6" fillId="9" borderId="13" xfId="0" applyFont="1" applyFill="1" applyBorder="1"/>
    <xf numFmtId="0" fontId="6" fillId="0" borderId="14" xfId="0" applyFont="1" applyBorder="1"/>
    <xf numFmtId="0" fontId="6" fillId="0" borderId="14" xfId="0" applyFont="1" applyBorder="1" applyAlignment="1">
      <alignment horizontal="right"/>
    </xf>
    <xf numFmtId="0" fontId="6" fillId="9" borderId="15" xfId="0" applyFont="1" applyFill="1" applyBorder="1"/>
    <xf numFmtId="0" fontId="6" fillId="0" borderId="16" xfId="0" applyFont="1" applyBorder="1" applyAlignment="1">
      <alignment horizontal="right"/>
    </xf>
    <xf numFmtId="0" fontId="6" fillId="0" borderId="16" xfId="0" applyFont="1" applyBorder="1" applyAlignment="1">
      <alignment horizontal="left" vertical="center"/>
    </xf>
    <xf numFmtId="0" fontId="5" fillId="16" borderId="1" xfId="0" applyFont="1" applyFill="1" applyBorder="1" applyAlignment="1">
      <alignment horizontal="center" vertical="center"/>
    </xf>
    <xf numFmtId="0" fontId="4" fillId="14" borderId="1" xfId="0" applyFont="1" applyFill="1" applyBorder="1" applyAlignment="1">
      <alignment horizontal="center" vertical="center"/>
    </xf>
    <xf numFmtId="164" fontId="4" fillId="14" borderId="1" xfId="0" applyNumberFormat="1" applyFont="1" applyFill="1" applyBorder="1" applyAlignment="1">
      <alignment horizontal="center" vertical="center"/>
    </xf>
    <xf numFmtId="0" fontId="6" fillId="15" borderId="2" xfId="0" applyFont="1" applyFill="1" applyBorder="1" applyAlignment="1">
      <alignment horizontal="center" vertical="center"/>
    </xf>
    <xf numFmtId="0" fontId="3" fillId="14" borderId="2" xfId="0" applyFont="1" applyFill="1" applyBorder="1" applyAlignment="1">
      <alignment horizontal="center" vertical="center"/>
    </xf>
    <xf numFmtId="0" fontId="6" fillId="15" borderId="11" xfId="0" applyFont="1" applyFill="1" applyBorder="1" applyAlignment="1">
      <alignment horizontal="center" vertical="center" wrapText="1"/>
    </xf>
    <xf numFmtId="0" fontId="6" fillId="15" borderId="12" xfId="0" applyFont="1" applyFill="1" applyBorder="1" applyAlignment="1">
      <alignment horizontal="center" vertical="center" wrapText="1"/>
    </xf>
    <xf numFmtId="0" fontId="6" fillId="14" borderId="13" xfId="0" applyFont="1" applyFill="1" applyBorder="1" applyAlignment="1">
      <alignment horizontal="center"/>
    </xf>
    <xf numFmtId="0" fontId="6" fillId="14" borderId="13" xfId="0" applyFont="1" applyFill="1" applyBorder="1" applyAlignment="1">
      <alignment horizontal="center" vertical="center"/>
    </xf>
    <xf numFmtId="0" fontId="6" fillId="14" borderId="15" xfId="0" applyFont="1" applyFill="1" applyBorder="1" applyAlignment="1">
      <alignment horizontal="center" vertical="center"/>
    </xf>
    <xf numFmtId="0" fontId="6" fillId="15" borderId="11" xfId="0" applyFont="1" applyFill="1" applyBorder="1" applyAlignment="1">
      <alignment horizontal="center" vertical="center"/>
    </xf>
    <xf numFmtId="0" fontId="6" fillId="15" borderId="12" xfId="0" applyFont="1" applyFill="1" applyBorder="1" applyAlignment="1">
      <alignment horizontal="center" vertical="center"/>
    </xf>
    <xf numFmtId="0" fontId="6" fillId="14" borderId="13" xfId="0" applyFont="1" applyFill="1" applyBorder="1"/>
  </cellXfs>
  <cellStyles count="3">
    <cellStyle name="20% - Accent4" xfId="2" builtinId="42"/>
    <cellStyle name="Normal" xfId="0" builtinId="0"/>
    <cellStyle name="Percent" xfId="1" builtinId="5"/>
  </cellStyles>
  <dxfs count="0"/>
  <tableStyles count="0" defaultTableStyle="TableStyleMedium2" defaultPivotStyle="PivotStyleLight16"/>
  <colors>
    <mruColors>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77"/>
  <sheetViews>
    <sheetView tabSelected="1" workbookViewId="0">
      <selection activeCell="B2" sqref="B2"/>
    </sheetView>
  </sheetViews>
  <sheetFormatPr defaultColWidth="14.44140625" defaultRowHeight="15" customHeight="1" x14ac:dyDescent="0.3"/>
  <cols>
    <col min="1" max="1" width="75.44140625" style="17" customWidth="1"/>
  </cols>
  <sheetData>
    <row r="1" spans="1:26" ht="15.6" x14ac:dyDescent="0.3">
      <c r="A1" s="12" t="s">
        <v>169</v>
      </c>
      <c r="B1" s="1"/>
      <c r="C1" s="1"/>
      <c r="D1" s="1"/>
      <c r="E1" s="1"/>
      <c r="F1" s="1"/>
      <c r="G1" s="1"/>
      <c r="H1" s="1"/>
      <c r="I1" s="1"/>
      <c r="J1" s="1"/>
      <c r="K1" s="1"/>
      <c r="L1" s="1"/>
      <c r="M1" s="1"/>
      <c r="N1" s="1"/>
      <c r="O1" s="1"/>
      <c r="P1" s="1"/>
      <c r="Q1" s="1"/>
      <c r="R1" s="1"/>
      <c r="S1" s="1"/>
      <c r="T1" s="1"/>
      <c r="U1" s="1"/>
      <c r="V1" s="1"/>
      <c r="W1" s="1"/>
      <c r="X1" s="1"/>
      <c r="Y1" s="1"/>
      <c r="Z1" s="1"/>
    </row>
    <row r="2" spans="1:26" ht="362.4" customHeight="1" x14ac:dyDescent="0.3">
      <c r="A2" s="13" t="s">
        <v>168</v>
      </c>
      <c r="B2" s="1"/>
      <c r="C2" s="1"/>
      <c r="D2" s="1"/>
      <c r="E2" s="1"/>
      <c r="F2" s="1"/>
      <c r="G2" s="1"/>
      <c r="H2" s="1"/>
      <c r="I2" s="1"/>
      <c r="J2" s="1"/>
      <c r="K2" s="1"/>
      <c r="L2" s="1"/>
      <c r="M2" s="1"/>
      <c r="N2" s="1"/>
      <c r="O2" s="1"/>
      <c r="P2" s="1"/>
      <c r="Q2" s="1"/>
      <c r="R2" s="1"/>
      <c r="S2" s="1"/>
      <c r="T2" s="1"/>
      <c r="U2" s="1"/>
      <c r="V2" s="1"/>
      <c r="W2" s="1"/>
      <c r="X2" s="1"/>
      <c r="Y2" s="1"/>
      <c r="Z2" s="1"/>
    </row>
    <row r="3" spans="1:26" x14ac:dyDescent="0.3">
      <c r="A3" s="14"/>
      <c r="B3" s="1"/>
      <c r="C3" s="1"/>
      <c r="D3" s="1"/>
      <c r="E3" s="1"/>
      <c r="F3" s="1"/>
      <c r="G3" s="1"/>
      <c r="H3" s="1"/>
      <c r="I3" s="1"/>
      <c r="J3" s="1"/>
      <c r="K3" s="1"/>
      <c r="L3" s="1"/>
      <c r="M3" s="1"/>
      <c r="N3" s="1"/>
      <c r="O3" s="1"/>
      <c r="P3" s="1"/>
      <c r="Q3" s="1"/>
      <c r="R3" s="1"/>
      <c r="S3" s="1"/>
      <c r="T3" s="1"/>
      <c r="U3" s="1"/>
      <c r="V3" s="1"/>
      <c r="W3" s="1"/>
      <c r="X3" s="1"/>
      <c r="Y3" s="1"/>
      <c r="Z3" s="1"/>
    </row>
    <row r="4" spans="1:26" x14ac:dyDescent="0.3">
      <c r="A4" s="14"/>
      <c r="B4" s="1"/>
      <c r="C4" s="1"/>
      <c r="D4" s="1"/>
      <c r="E4" s="1"/>
      <c r="F4" s="1"/>
      <c r="G4" s="1"/>
      <c r="H4" s="1"/>
      <c r="I4" s="1"/>
      <c r="J4" s="1"/>
      <c r="K4" s="1"/>
      <c r="L4" s="1"/>
      <c r="M4" s="1"/>
      <c r="N4" s="1"/>
      <c r="O4" s="1"/>
      <c r="P4" s="1"/>
      <c r="Q4" s="1"/>
      <c r="R4" s="1"/>
      <c r="S4" s="1"/>
      <c r="T4" s="1"/>
      <c r="U4" s="1"/>
      <c r="V4" s="1"/>
      <c r="W4" s="1"/>
      <c r="X4" s="1"/>
      <c r="Y4" s="1"/>
      <c r="Z4" s="1"/>
    </row>
    <row r="5" spans="1:26" ht="15.6" x14ac:dyDescent="0.3">
      <c r="A5" s="15" t="s">
        <v>170</v>
      </c>
      <c r="B5" s="1"/>
      <c r="C5" s="1"/>
      <c r="D5" s="1"/>
      <c r="E5" s="1"/>
      <c r="F5" s="1"/>
      <c r="G5" s="1"/>
      <c r="H5" s="1"/>
      <c r="I5" s="1"/>
      <c r="J5" s="1"/>
      <c r="K5" s="1"/>
      <c r="L5" s="1"/>
      <c r="M5" s="1"/>
      <c r="N5" s="1"/>
      <c r="O5" s="1"/>
      <c r="P5" s="1"/>
      <c r="Q5" s="1"/>
      <c r="R5" s="1"/>
      <c r="S5" s="1"/>
      <c r="T5" s="1"/>
      <c r="U5" s="1"/>
      <c r="V5" s="1"/>
      <c r="W5" s="1"/>
      <c r="X5" s="1"/>
      <c r="Y5" s="1"/>
      <c r="Z5" s="1"/>
    </row>
    <row r="6" spans="1:26" ht="15.6" x14ac:dyDescent="0.3">
      <c r="A6" s="18" t="s">
        <v>0</v>
      </c>
      <c r="B6" s="1"/>
      <c r="C6" s="1"/>
      <c r="D6" s="1"/>
      <c r="E6" s="1"/>
      <c r="F6" s="1"/>
      <c r="G6" s="1"/>
      <c r="H6" s="1"/>
      <c r="I6" s="1"/>
      <c r="J6" s="1"/>
      <c r="K6" s="1"/>
      <c r="L6" s="1"/>
      <c r="M6" s="1"/>
      <c r="N6" s="1"/>
      <c r="O6" s="1"/>
      <c r="P6" s="1"/>
      <c r="Q6" s="1"/>
      <c r="R6" s="1"/>
      <c r="S6" s="1"/>
      <c r="T6" s="1"/>
      <c r="U6" s="1"/>
      <c r="V6" s="1"/>
      <c r="W6" s="1"/>
      <c r="X6" s="1"/>
      <c r="Y6" s="1"/>
      <c r="Z6" s="1"/>
    </row>
    <row r="7" spans="1:26" x14ac:dyDescent="0.3">
      <c r="A7" s="16" t="s">
        <v>1</v>
      </c>
      <c r="B7" s="1"/>
      <c r="C7" s="1"/>
      <c r="D7" s="1"/>
      <c r="E7" s="1"/>
      <c r="F7" s="1"/>
      <c r="G7" s="1"/>
      <c r="H7" s="1"/>
      <c r="I7" s="1"/>
      <c r="J7" s="1"/>
      <c r="K7" s="1"/>
      <c r="L7" s="1"/>
      <c r="M7" s="1"/>
      <c r="N7" s="1"/>
      <c r="O7" s="1"/>
      <c r="P7" s="1"/>
      <c r="Q7" s="1"/>
      <c r="R7" s="1"/>
      <c r="S7" s="1"/>
      <c r="T7" s="1"/>
      <c r="U7" s="1"/>
      <c r="V7" s="1"/>
      <c r="W7" s="1"/>
      <c r="X7" s="1"/>
      <c r="Y7" s="1"/>
      <c r="Z7" s="1"/>
    </row>
    <row r="8" spans="1:26" x14ac:dyDescent="0.3">
      <c r="A8" s="16" t="s">
        <v>2</v>
      </c>
      <c r="B8" s="1"/>
      <c r="C8" s="1"/>
      <c r="D8" s="1"/>
      <c r="E8" s="1"/>
      <c r="F8" s="1"/>
      <c r="G8" s="1"/>
      <c r="H8" s="1"/>
      <c r="I8" s="1"/>
      <c r="J8" s="1"/>
      <c r="K8" s="1"/>
      <c r="L8" s="1"/>
      <c r="M8" s="1"/>
      <c r="N8" s="1"/>
      <c r="O8" s="1"/>
      <c r="P8" s="1"/>
      <c r="Q8" s="1"/>
      <c r="R8" s="1"/>
      <c r="S8" s="1"/>
      <c r="T8" s="1"/>
      <c r="U8" s="1"/>
      <c r="V8" s="1"/>
      <c r="W8" s="1"/>
      <c r="X8" s="1"/>
      <c r="Y8" s="1"/>
      <c r="Z8" s="1"/>
    </row>
    <row r="9" spans="1:26" x14ac:dyDescent="0.3">
      <c r="A9" s="16"/>
      <c r="B9" s="1"/>
      <c r="C9" s="1"/>
      <c r="D9" s="1"/>
      <c r="E9" s="1"/>
      <c r="F9" s="1"/>
      <c r="G9" s="1"/>
      <c r="H9" s="1"/>
      <c r="I9" s="1"/>
      <c r="J9" s="1"/>
      <c r="K9" s="1"/>
      <c r="L9" s="1"/>
      <c r="M9" s="1"/>
      <c r="N9" s="1"/>
      <c r="O9" s="1"/>
      <c r="P9" s="1"/>
      <c r="Q9" s="1"/>
      <c r="R9" s="1"/>
      <c r="S9" s="1"/>
      <c r="T9" s="1"/>
      <c r="U9" s="1"/>
      <c r="V9" s="1"/>
      <c r="W9" s="1"/>
      <c r="X9" s="1"/>
      <c r="Y9" s="1"/>
      <c r="Z9" s="1"/>
    </row>
    <row r="10" spans="1:26" ht="15.6" x14ac:dyDescent="0.3">
      <c r="A10" s="18" t="s">
        <v>3</v>
      </c>
      <c r="B10" s="1"/>
      <c r="C10" s="1"/>
      <c r="D10" s="1"/>
      <c r="E10" s="1"/>
      <c r="F10" s="1"/>
      <c r="G10" s="1"/>
      <c r="H10" s="1"/>
      <c r="I10" s="1"/>
      <c r="J10" s="1"/>
      <c r="K10" s="1"/>
      <c r="L10" s="1"/>
      <c r="M10" s="1"/>
      <c r="N10" s="1"/>
      <c r="O10" s="1"/>
      <c r="P10" s="1"/>
      <c r="Q10" s="1"/>
      <c r="R10" s="1"/>
      <c r="S10" s="1"/>
      <c r="T10" s="1"/>
      <c r="U10" s="1"/>
      <c r="V10" s="1"/>
      <c r="W10" s="1"/>
      <c r="X10" s="1"/>
      <c r="Y10" s="1"/>
      <c r="Z10" s="1"/>
    </row>
    <row r="11" spans="1:26" x14ac:dyDescent="0.3">
      <c r="A11" s="16" t="s">
        <v>4</v>
      </c>
      <c r="B11" s="1"/>
      <c r="C11" s="1"/>
      <c r="D11" s="1"/>
      <c r="E11" s="1"/>
      <c r="F11" s="1"/>
      <c r="G11" s="1"/>
      <c r="H11" s="1"/>
      <c r="I11" s="1"/>
      <c r="J11" s="1"/>
      <c r="K11" s="1"/>
      <c r="L11" s="1"/>
      <c r="M11" s="1"/>
      <c r="N11" s="1"/>
      <c r="O11" s="1"/>
      <c r="P11" s="1"/>
      <c r="Q11" s="1"/>
      <c r="R11" s="1"/>
      <c r="S11" s="1"/>
      <c r="T11" s="1"/>
      <c r="U11" s="1"/>
      <c r="V11" s="1"/>
      <c r="W11" s="1"/>
      <c r="X11" s="1"/>
      <c r="Y11" s="1"/>
      <c r="Z11" s="1"/>
    </row>
    <row r="12" spans="1:26" x14ac:dyDescent="0.3">
      <c r="A12" s="16" t="s">
        <v>5</v>
      </c>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3">
      <c r="A13" s="16"/>
      <c r="B13" s="1"/>
      <c r="C13" s="1"/>
      <c r="D13" s="1"/>
      <c r="E13" s="1"/>
      <c r="F13" s="1"/>
      <c r="G13" s="1"/>
      <c r="H13" s="1"/>
      <c r="I13" s="1"/>
      <c r="J13" s="1"/>
      <c r="K13" s="1"/>
      <c r="L13" s="1"/>
      <c r="M13" s="1"/>
      <c r="N13" s="1"/>
      <c r="O13" s="1"/>
      <c r="P13" s="1"/>
      <c r="Q13" s="1"/>
      <c r="R13" s="1"/>
      <c r="S13" s="1"/>
      <c r="T13" s="1"/>
      <c r="U13" s="1"/>
      <c r="V13" s="1"/>
      <c r="W13" s="1"/>
      <c r="X13" s="1"/>
      <c r="Y13" s="1"/>
      <c r="Z13" s="1"/>
    </row>
    <row r="14" spans="1:26" ht="15.6" x14ac:dyDescent="0.3">
      <c r="A14" s="18" t="s">
        <v>6</v>
      </c>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3">
      <c r="A15" s="16" t="s">
        <v>7</v>
      </c>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3">
      <c r="A16" s="16" t="s">
        <v>8</v>
      </c>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3">
      <c r="A17" s="16"/>
      <c r="B17" s="1"/>
      <c r="C17" s="1"/>
      <c r="D17" s="1"/>
      <c r="E17" s="1"/>
      <c r="F17" s="1"/>
      <c r="G17" s="1"/>
      <c r="H17" s="1"/>
      <c r="I17" s="1"/>
      <c r="J17" s="1"/>
      <c r="K17" s="1"/>
      <c r="L17" s="1"/>
      <c r="M17" s="1"/>
      <c r="N17" s="1"/>
      <c r="O17" s="1"/>
      <c r="P17" s="1"/>
      <c r="Q17" s="1"/>
      <c r="R17" s="1"/>
      <c r="S17" s="1"/>
      <c r="T17" s="1"/>
      <c r="U17" s="1"/>
      <c r="V17" s="1"/>
      <c r="W17" s="1"/>
      <c r="X17" s="1"/>
      <c r="Y17" s="1"/>
      <c r="Z17" s="1"/>
    </row>
    <row r="18" spans="1:26" ht="15.6" x14ac:dyDescent="0.3">
      <c r="A18" s="18" t="s">
        <v>9</v>
      </c>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3">
      <c r="A19" s="16" t="s">
        <v>10</v>
      </c>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3">
      <c r="A20" s="16" t="s">
        <v>11</v>
      </c>
      <c r="B20" s="1"/>
      <c r="C20" s="1"/>
      <c r="D20" s="1"/>
      <c r="E20" s="1"/>
      <c r="F20" s="1"/>
      <c r="G20" s="1"/>
      <c r="H20" s="1"/>
      <c r="I20" s="1"/>
      <c r="J20" s="1"/>
      <c r="K20" s="1"/>
      <c r="L20" s="1"/>
      <c r="M20" s="1"/>
      <c r="N20" s="1"/>
      <c r="O20" s="1"/>
      <c r="P20" s="1"/>
      <c r="Q20" s="1"/>
      <c r="R20" s="1"/>
      <c r="S20" s="1"/>
      <c r="T20" s="1"/>
      <c r="U20" s="1"/>
      <c r="V20" s="1"/>
      <c r="W20" s="1"/>
      <c r="X20" s="1"/>
      <c r="Y20" s="1"/>
      <c r="Z20" s="1"/>
    </row>
    <row r="21" spans="1:26" x14ac:dyDescent="0.3">
      <c r="A21" s="16" t="s">
        <v>12</v>
      </c>
      <c r="B21" s="1"/>
      <c r="C21" s="1"/>
      <c r="D21" s="1"/>
      <c r="E21" s="1"/>
      <c r="F21" s="1"/>
      <c r="G21" s="1"/>
      <c r="H21" s="1"/>
      <c r="I21" s="1"/>
      <c r="J21" s="1"/>
      <c r="K21" s="1"/>
      <c r="L21" s="1"/>
      <c r="M21" s="1"/>
      <c r="N21" s="1"/>
      <c r="O21" s="1"/>
      <c r="P21" s="1"/>
      <c r="Q21" s="1"/>
      <c r="R21" s="1"/>
      <c r="S21" s="1"/>
      <c r="T21" s="1"/>
      <c r="U21" s="1"/>
      <c r="V21" s="1"/>
      <c r="W21" s="1"/>
      <c r="X21" s="1"/>
      <c r="Y21" s="1"/>
      <c r="Z21" s="1"/>
    </row>
    <row r="22" spans="1:26" x14ac:dyDescent="0.3">
      <c r="A22" s="16"/>
      <c r="B22" s="1"/>
      <c r="C22" s="1"/>
      <c r="D22" s="1"/>
      <c r="E22" s="1"/>
      <c r="F22" s="1"/>
      <c r="G22" s="1"/>
      <c r="H22" s="1"/>
      <c r="I22" s="1"/>
      <c r="J22" s="1"/>
      <c r="K22" s="1"/>
      <c r="L22" s="1"/>
      <c r="M22" s="1"/>
      <c r="N22" s="1"/>
      <c r="O22" s="1"/>
      <c r="P22" s="1"/>
      <c r="Q22" s="1"/>
      <c r="R22" s="1"/>
      <c r="S22" s="1"/>
      <c r="T22" s="1"/>
      <c r="U22" s="1"/>
      <c r="V22" s="1"/>
      <c r="W22" s="1"/>
      <c r="X22" s="1"/>
      <c r="Y22" s="1"/>
      <c r="Z22" s="1"/>
    </row>
    <row r="23" spans="1:26" ht="15.6" x14ac:dyDescent="0.3">
      <c r="A23" s="18" t="s">
        <v>13</v>
      </c>
      <c r="B23" s="1"/>
      <c r="C23" s="1"/>
      <c r="D23" s="1"/>
      <c r="E23" s="1"/>
      <c r="F23" s="1"/>
      <c r="G23" s="1"/>
      <c r="H23" s="1"/>
      <c r="I23" s="1"/>
      <c r="J23" s="1"/>
      <c r="K23" s="1"/>
      <c r="L23" s="1"/>
      <c r="M23" s="1"/>
      <c r="N23" s="1"/>
      <c r="O23" s="1"/>
      <c r="P23" s="1"/>
      <c r="Q23" s="1"/>
      <c r="R23" s="1"/>
      <c r="S23" s="1"/>
      <c r="T23" s="1"/>
      <c r="U23" s="1"/>
      <c r="V23" s="1"/>
      <c r="W23" s="1"/>
      <c r="X23" s="1"/>
      <c r="Y23" s="1"/>
      <c r="Z23" s="1"/>
    </row>
    <row r="24" spans="1:26" x14ac:dyDescent="0.3">
      <c r="A24" s="16" t="s">
        <v>14</v>
      </c>
      <c r="B24" s="1"/>
      <c r="C24" s="1"/>
      <c r="D24" s="1"/>
      <c r="E24" s="1"/>
      <c r="F24" s="1"/>
      <c r="G24" s="1"/>
      <c r="H24" s="1"/>
      <c r="I24" s="1"/>
      <c r="J24" s="1"/>
      <c r="K24" s="1"/>
      <c r="L24" s="1"/>
      <c r="M24" s="1"/>
      <c r="N24" s="1"/>
      <c r="O24" s="1"/>
      <c r="P24" s="1"/>
      <c r="Q24" s="1"/>
      <c r="R24" s="1"/>
      <c r="S24" s="1"/>
      <c r="T24" s="1"/>
      <c r="U24" s="1"/>
      <c r="V24" s="1"/>
      <c r="W24" s="1"/>
      <c r="X24" s="1"/>
      <c r="Y24" s="1"/>
      <c r="Z24" s="1"/>
    </row>
    <row r="25" spans="1:26" x14ac:dyDescent="0.3">
      <c r="A25" s="16" t="s">
        <v>15</v>
      </c>
      <c r="B25" s="1"/>
      <c r="C25" s="1"/>
      <c r="D25" s="1"/>
      <c r="E25" s="1"/>
      <c r="F25" s="1"/>
      <c r="G25" s="1"/>
      <c r="H25" s="1"/>
      <c r="I25" s="1"/>
      <c r="J25" s="1"/>
      <c r="K25" s="1"/>
      <c r="L25" s="1"/>
      <c r="M25" s="1"/>
      <c r="N25" s="1"/>
      <c r="O25" s="1"/>
      <c r="P25" s="1"/>
      <c r="Q25" s="1"/>
      <c r="R25" s="1"/>
      <c r="S25" s="1"/>
      <c r="T25" s="1"/>
      <c r="U25" s="1"/>
      <c r="V25" s="1"/>
      <c r="W25" s="1"/>
      <c r="X25" s="1"/>
      <c r="Y25" s="1"/>
      <c r="Z25" s="1"/>
    </row>
    <row r="26" spans="1:26" x14ac:dyDescent="0.3">
      <c r="A26" s="16"/>
      <c r="B26" s="1"/>
      <c r="C26" s="1"/>
      <c r="D26" s="1"/>
      <c r="E26" s="1"/>
      <c r="F26" s="1"/>
      <c r="G26" s="1"/>
      <c r="H26" s="1"/>
      <c r="I26" s="1"/>
      <c r="J26" s="1"/>
      <c r="K26" s="1"/>
      <c r="L26" s="1"/>
      <c r="M26" s="1"/>
      <c r="N26" s="1"/>
      <c r="O26" s="1"/>
      <c r="P26" s="1"/>
      <c r="Q26" s="1"/>
      <c r="R26" s="1"/>
      <c r="S26" s="1"/>
      <c r="T26" s="1"/>
      <c r="U26" s="1"/>
      <c r="V26" s="1"/>
      <c r="W26" s="1"/>
      <c r="X26" s="1"/>
      <c r="Y26" s="1"/>
      <c r="Z26" s="1"/>
    </row>
    <row r="27" spans="1:26" ht="15.6" x14ac:dyDescent="0.3">
      <c r="A27" s="18" t="s">
        <v>16</v>
      </c>
      <c r="B27" s="1"/>
      <c r="C27" s="1"/>
      <c r="D27" s="1"/>
      <c r="E27" s="1"/>
      <c r="F27" s="1"/>
      <c r="G27" s="1"/>
      <c r="H27" s="1"/>
      <c r="I27" s="1"/>
      <c r="J27" s="1"/>
      <c r="K27" s="1"/>
      <c r="L27" s="1"/>
      <c r="M27" s="1"/>
      <c r="N27" s="1"/>
      <c r="O27" s="1"/>
      <c r="P27" s="1"/>
      <c r="Q27" s="1"/>
      <c r="R27" s="1"/>
      <c r="S27" s="1"/>
      <c r="T27" s="1"/>
      <c r="U27" s="1"/>
      <c r="V27" s="1"/>
      <c r="W27" s="1"/>
      <c r="X27" s="1"/>
      <c r="Y27" s="1"/>
      <c r="Z27" s="1"/>
    </row>
    <row r="28" spans="1:26" x14ac:dyDescent="0.3">
      <c r="A28" s="16" t="s">
        <v>17</v>
      </c>
      <c r="B28" s="1"/>
      <c r="C28" s="1"/>
      <c r="D28" s="1"/>
      <c r="E28" s="1"/>
      <c r="F28" s="1"/>
      <c r="G28" s="1"/>
      <c r="H28" s="1"/>
      <c r="I28" s="1"/>
      <c r="J28" s="1"/>
      <c r="K28" s="1"/>
      <c r="L28" s="1"/>
      <c r="M28" s="1"/>
      <c r="N28" s="1"/>
      <c r="O28" s="1"/>
      <c r="P28" s="1"/>
      <c r="Q28" s="1"/>
      <c r="R28" s="1"/>
      <c r="S28" s="1"/>
      <c r="T28" s="1"/>
      <c r="U28" s="1"/>
      <c r="V28" s="1"/>
      <c r="W28" s="1"/>
      <c r="X28" s="1"/>
      <c r="Y28" s="1"/>
      <c r="Z28" s="1"/>
    </row>
    <row r="29" spans="1:26" x14ac:dyDescent="0.3">
      <c r="A29" s="16" t="s">
        <v>18</v>
      </c>
      <c r="B29" s="1"/>
      <c r="C29" s="1"/>
      <c r="D29" s="1"/>
      <c r="E29" s="1"/>
      <c r="F29" s="1"/>
      <c r="G29" s="1"/>
      <c r="H29" s="1"/>
      <c r="I29" s="1"/>
      <c r="J29" s="1"/>
      <c r="K29" s="1"/>
      <c r="L29" s="1"/>
      <c r="M29" s="1"/>
      <c r="N29" s="1"/>
      <c r="O29" s="1"/>
      <c r="P29" s="1"/>
      <c r="Q29" s="1"/>
      <c r="R29" s="1"/>
      <c r="S29" s="1"/>
      <c r="T29" s="1"/>
      <c r="U29" s="1"/>
      <c r="V29" s="1"/>
      <c r="W29" s="1"/>
      <c r="X29" s="1"/>
      <c r="Y29" s="1"/>
      <c r="Z29" s="1"/>
    </row>
    <row r="30" spans="1:26" x14ac:dyDescent="0.3">
      <c r="A30" s="16"/>
      <c r="B30" s="1"/>
      <c r="C30" s="1"/>
      <c r="D30" s="1"/>
      <c r="E30" s="1"/>
      <c r="F30" s="1"/>
      <c r="G30" s="1"/>
      <c r="H30" s="1"/>
      <c r="I30" s="1"/>
      <c r="J30" s="1"/>
      <c r="K30" s="1"/>
      <c r="L30" s="1"/>
      <c r="M30" s="1"/>
      <c r="N30" s="1"/>
      <c r="O30" s="1"/>
      <c r="P30" s="1"/>
      <c r="Q30" s="1"/>
      <c r="R30" s="1"/>
      <c r="S30" s="1"/>
      <c r="T30" s="1"/>
      <c r="U30" s="1"/>
      <c r="V30" s="1"/>
      <c r="W30" s="1"/>
      <c r="X30" s="1"/>
      <c r="Y30" s="1"/>
      <c r="Z30" s="1"/>
    </row>
    <row r="31" spans="1:26" ht="15.6" x14ac:dyDescent="0.3">
      <c r="A31" s="18" t="s">
        <v>19</v>
      </c>
      <c r="B31" s="1"/>
      <c r="C31" s="1"/>
      <c r="D31" s="1"/>
      <c r="E31" s="1"/>
      <c r="F31" s="1"/>
      <c r="G31" s="1"/>
      <c r="H31" s="1"/>
      <c r="I31" s="1"/>
      <c r="J31" s="1"/>
      <c r="K31" s="1"/>
      <c r="L31" s="1"/>
      <c r="M31" s="1"/>
      <c r="N31" s="1"/>
      <c r="O31" s="1"/>
      <c r="P31" s="1"/>
      <c r="Q31" s="1"/>
      <c r="R31" s="1"/>
      <c r="S31" s="1"/>
      <c r="T31" s="1"/>
      <c r="U31" s="1"/>
      <c r="V31" s="1"/>
      <c r="W31" s="1"/>
      <c r="X31" s="1"/>
      <c r="Y31" s="1"/>
      <c r="Z31" s="1"/>
    </row>
    <row r="32" spans="1:26" x14ac:dyDescent="0.3">
      <c r="A32" s="16" t="s">
        <v>20</v>
      </c>
      <c r="B32" s="1"/>
      <c r="C32" s="1"/>
      <c r="D32" s="1"/>
      <c r="E32" s="1"/>
      <c r="F32" s="1"/>
      <c r="G32" s="1"/>
      <c r="H32" s="1"/>
      <c r="I32" s="1"/>
      <c r="J32" s="1"/>
      <c r="K32" s="1"/>
      <c r="L32" s="1"/>
      <c r="M32" s="1"/>
      <c r="N32" s="1"/>
      <c r="O32" s="1"/>
      <c r="P32" s="1"/>
      <c r="Q32" s="1"/>
      <c r="R32" s="1"/>
      <c r="S32" s="1"/>
      <c r="T32" s="1"/>
      <c r="U32" s="1"/>
      <c r="V32" s="1"/>
      <c r="W32" s="1"/>
      <c r="X32" s="1"/>
      <c r="Y32" s="1"/>
      <c r="Z32" s="1"/>
    </row>
    <row r="33" spans="1:26" x14ac:dyDescent="0.3">
      <c r="A33" s="16" t="s">
        <v>21</v>
      </c>
      <c r="B33" s="1"/>
      <c r="C33" s="1"/>
      <c r="D33" s="1"/>
      <c r="E33" s="1"/>
      <c r="F33" s="1"/>
      <c r="G33" s="1"/>
      <c r="H33" s="1"/>
      <c r="I33" s="1"/>
      <c r="J33" s="1"/>
      <c r="K33" s="1"/>
      <c r="L33" s="1"/>
      <c r="M33" s="1"/>
      <c r="N33" s="1"/>
      <c r="O33" s="1"/>
      <c r="P33" s="1"/>
      <c r="Q33" s="1"/>
      <c r="R33" s="1"/>
      <c r="S33" s="1"/>
      <c r="T33" s="1"/>
      <c r="U33" s="1"/>
      <c r="V33" s="1"/>
      <c r="W33" s="1"/>
      <c r="X33" s="1"/>
      <c r="Y33" s="1"/>
      <c r="Z33" s="1"/>
    </row>
    <row r="34" spans="1:26" x14ac:dyDescent="0.3">
      <c r="A34" s="16"/>
      <c r="B34" s="1"/>
      <c r="C34" s="1"/>
      <c r="D34" s="1"/>
      <c r="E34" s="1"/>
      <c r="F34" s="1"/>
      <c r="G34" s="1"/>
      <c r="H34" s="1"/>
      <c r="I34" s="1"/>
      <c r="J34" s="1"/>
      <c r="K34" s="1"/>
      <c r="L34" s="1"/>
      <c r="M34" s="1"/>
      <c r="N34" s="1"/>
      <c r="O34" s="1"/>
      <c r="P34" s="1"/>
      <c r="Q34" s="1"/>
      <c r="R34" s="1"/>
      <c r="S34" s="1"/>
      <c r="T34" s="1"/>
      <c r="U34" s="1"/>
      <c r="V34" s="1"/>
      <c r="W34" s="1"/>
      <c r="X34" s="1"/>
      <c r="Y34" s="1"/>
      <c r="Z34" s="1"/>
    </row>
    <row r="35" spans="1:26" ht="15.6" x14ac:dyDescent="0.3">
      <c r="A35" s="18" t="s">
        <v>22</v>
      </c>
      <c r="B35" s="1"/>
      <c r="C35" s="1"/>
      <c r="D35" s="1"/>
      <c r="E35" s="1"/>
      <c r="F35" s="1"/>
      <c r="G35" s="1"/>
      <c r="H35" s="1"/>
      <c r="I35" s="1"/>
      <c r="J35" s="1"/>
      <c r="K35" s="1"/>
      <c r="L35" s="1"/>
      <c r="M35" s="1"/>
      <c r="N35" s="1"/>
      <c r="O35" s="1"/>
      <c r="P35" s="1"/>
      <c r="Q35" s="1"/>
      <c r="R35" s="1"/>
      <c r="S35" s="1"/>
      <c r="T35" s="1"/>
      <c r="U35" s="1"/>
      <c r="V35" s="1"/>
      <c r="W35" s="1"/>
      <c r="X35" s="1"/>
      <c r="Y35" s="1"/>
      <c r="Z35" s="1"/>
    </row>
    <row r="36" spans="1:26" x14ac:dyDescent="0.3">
      <c r="A36" s="16" t="s">
        <v>23</v>
      </c>
      <c r="B36" s="1"/>
      <c r="C36" s="1"/>
      <c r="D36" s="1"/>
      <c r="E36" s="1"/>
      <c r="F36" s="1"/>
      <c r="G36" s="1"/>
      <c r="H36" s="1"/>
      <c r="I36" s="1"/>
      <c r="J36" s="1"/>
      <c r="K36" s="1"/>
      <c r="L36" s="1"/>
      <c r="M36" s="1"/>
      <c r="N36" s="1"/>
      <c r="O36" s="1"/>
      <c r="P36" s="1"/>
      <c r="Q36" s="1"/>
      <c r="R36" s="1"/>
      <c r="S36" s="1"/>
      <c r="T36" s="1"/>
      <c r="U36" s="1"/>
      <c r="V36" s="1"/>
      <c r="W36" s="1"/>
      <c r="X36" s="1"/>
      <c r="Y36" s="1"/>
      <c r="Z36" s="1"/>
    </row>
    <row r="37" spans="1:26" x14ac:dyDescent="0.3">
      <c r="A37" s="16" t="s">
        <v>24</v>
      </c>
      <c r="B37" s="1"/>
      <c r="C37" s="1"/>
      <c r="D37" s="1"/>
      <c r="E37" s="1"/>
      <c r="F37" s="1"/>
      <c r="G37" s="1"/>
      <c r="H37" s="1"/>
      <c r="I37" s="1"/>
      <c r="J37" s="1"/>
      <c r="K37" s="1"/>
      <c r="L37" s="1"/>
      <c r="M37" s="1"/>
      <c r="N37" s="1"/>
      <c r="O37" s="1"/>
      <c r="P37" s="1"/>
      <c r="Q37" s="1"/>
      <c r="R37" s="1"/>
      <c r="S37" s="1"/>
      <c r="T37" s="1"/>
      <c r="U37" s="1"/>
      <c r="V37" s="1"/>
      <c r="W37" s="1"/>
      <c r="X37" s="1"/>
      <c r="Y37" s="1"/>
      <c r="Z37" s="1"/>
    </row>
    <row r="38" spans="1:26" x14ac:dyDescent="0.3">
      <c r="A38" s="16"/>
      <c r="B38" s="1"/>
      <c r="C38" s="1"/>
      <c r="D38" s="1"/>
      <c r="E38" s="1"/>
      <c r="F38" s="1"/>
      <c r="G38" s="1"/>
      <c r="H38" s="1"/>
      <c r="I38" s="1"/>
      <c r="J38" s="1"/>
      <c r="K38" s="1"/>
      <c r="L38" s="1"/>
      <c r="M38" s="1"/>
      <c r="N38" s="1"/>
      <c r="O38" s="1"/>
      <c r="P38" s="1"/>
      <c r="Q38" s="1"/>
      <c r="R38" s="1"/>
      <c r="S38" s="1"/>
      <c r="T38" s="1"/>
      <c r="U38" s="1"/>
      <c r="V38" s="1"/>
      <c r="W38" s="1"/>
      <c r="X38" s="1"/>
      <c r="Y38" s="1"/>
      <c r="Z38" s="1"/>
    </row>
    <row r="39" spans="1:26" ht="15.6" x14ac:dyDescent="0.3">
      <c r="A39" s="18" t="s">
        <v>25</v>
      </c>
      <c r="B39" s="1"/>
      <c r="C39" s="1"/>
      <c r="D39" s="1"/>
      <c r="E39" s="1"/>
      <c r="F39" s="1"/>
      <c r="G39" s="1"/>
      <c r="H39" s="1"/>
      <c r="I39" s="1"/>
      <c r="J39" s="1"/>
      <c r="K39" s="1"/>
      <c r="L39" s="1"/>
      <c r="M39" s="1"/>
      <c r="N39" s="1"/>
      <c r="O39" s="1"/>
      <c r="P39" s="1"/>
      <c r="Q39" s="1"/>
      <c r="R39" s="1"/>
      <c r="S39" s="1"/>
      <c r="T39" s="1"/>
      <c r="U39" s="1"/>
      <c r="V39" s="1"/>
      <c r="W39" s="1"/>
      <c r="X39" s="1"/>
      <c r="Y39" s="1"/>
      <c r="Z39" s="1"/>
    </row>
    <row r="40" spans="1:26" x14ac:dyDescent="0.3">
      <c r="A40" s="16" t="s">
        <v>26</v>
      </c>
      <c r="B40" s="1"/>
      <c r="C40" s="1"/>
      <c r="D40" s="1"/>
      <c r="E40" s="1"/>
      <c r="F40" s="1"/>
      <c r="G40" s="1"/>
      <c r="H40" s="1"/>
      <c r="I40" s="1"/>
      <c r="J40" s="1"/>
      <c r="K40" s="1"/>
      <c r="L40" s="1"/>
      <c r="M40" s="1"/>
      <c r="N40" s="1"/>
      <c r="O40" s="1"/>
      <c r="P40" s="1"/>
      <c r="Q40" s="1"/>
      <c r="R40" s="1"/>
      <c r="S40" s="1"/>
      <c r="T40" s="1"/>
      <c r="U40" s="1"/>
      <c r="V40" s="1"/>
      <c r="W40" s="1"/>
      <c r="X40" s="1"/>
      <c r="Y40" s="1"/>
      <c r="Z40" s="1"/>
    </row>
    <row r="41" spans="1:26" x14ac:dyDescent="0.3">
      <c r="A41" s="16"/>
      <c r="B41" s="1"/>
      <c r="C41" s="1"/>
      <c r="D41" s="1"/>
      <c r="E41" s="1"/>
      <c r="F41" s="1"/>
      <c r="G41" s="1"/>
      <c r="H41" s="1"/>
      <c r="I41" s="1"/>
      <c r="J41" s="1"/>
      <c r="K41" s="1"/>
      <c r="L41" s="1"/>
      <c r="M41" s="1"/>
      <c r="N41" s="1"/>
      <c r="O41" s="1"/>
      <c r="P41" s="1"/>
      <c r="Q41" s="1"/>
      <c r="R41" s="1"/>
      <c r="S41" s="1"/>
      <c r="T41" s="1"/>
      <c r="U41" s="1"/>
      <c r="V41" s="1"/>
      <c r="W41" s="1"/>
      <c r="X41" s="1"/>
      <c r="Y41" s="1"/>
      <c r="Z41" s="1"/>
    </row>
    <row r="42" spans="1:26" ht="15.6" x14ac:dyDescent="0.3">
      <c r="A42" s="18" t="s">
        <v>27</v>
      </c>
      <c r="B42" s="1"/>
      <c r="C42" s="1"/>
      <c r="D42" s="1"/>
      <c r="E42" s="1"/>
      <c r="F42" s="1"/>
      <c r="G42" s="1"/>
      <c r="H42" s="1"/>
      <c r="I42" s="1"/>
      <c r="J42" s="1"/>
      <c r="K42" s="1"/>
      <c r="L42" s="1"/>
      <c r="M42" s="1"/>
      <c r="N42" s="1"/>
      <c r="O42" s="1"/>
      <c r="P42" s="1"/>
      <c r="Q42" s="1"/>
      <c r="R42" s="1"/>
      <c r="S42" s="1"/>
      <c r="T42" s="1"/>
      <c r="U42" s="1"/>
      <c r="V42" s="1"/>
      <c r="W42" s="1"/>
      <c r="X42" s="1"/>
      <c r="Y42" s="1"/>
      <c r="Z42" s="1"/>
    </row>
    <row r="43" spans="1:26" x14ac:dyDescent="0.3">
      <c r="A43" s="16" t="s">
        <v>28</v>
      </c>
      <c r="B43" s="1"/>
      <c r="C43" s="1"/>
      <c r="D43" s="1"/>
      <c r="E43" s="1"/>
      <c r="F43" s="1"/>
      <c r="G43" s="1"/>
      <c r="H43" s="1"/>
      <c r="I43" s="1"/>
      <c r="J43" s="1"/>
      <c r="K43" s="1"/>
      <c r="L43" s="1"/>
      <c r="M43" s="1"/>
      <c r="N43" s="1"/>
      <c r="O43" s="1"/>
      <c r="P43" s="1"/>
      <c r="Q43" s="1"/>
      <c r="R43" s="1"/>
      <c r="S43" s="1"/>
      <c r="T43" s="1"/>
      <c r="U43" s="1"/>
      <c r="V43" s="1"/>
      <c r="W43" s="1"/>
      <c r="X43" s="1"/>
      <c r="Y43" s="1"/>
      <c r="Z43" s="1"/>
    </row>
    <row r="44" spans="1:26" x14ac:dyDescent="0.3">
      <c r="A44" s="16"/>
      <c r="B44" s="1"/>
      <c r="C44" s="1"/>
      <c r="D44" s="1"/>
      <c r="E44" s="1"/>
      <c r="F44" s="1"/>
      <c r="G44" s="1"/>
      <c r="H44" s="1"/>
      <c r="I44" s="1"/>
      <c r="J44" s="1"/>
      <c r="K44" s="1"/>
      <c r="L44" s="1"/>
      <c r="M44" s="1"/>
      <c r="N44" s="1"/>
      <c r="O44" s="1"/>
      <c r="P44" s="1"/>
      <c r="Q44" s="1"/>
      <c r="R44" s="1"/>
      <c r="S44" s="1"/>
      <c r="T44" s="1"/>
      <c r="U44" s="1"/>
      <c r="V44" s="1"/>
      <c r="W44" s="1"/>
      <c r="X44" s="1"/>
      <c r="Y44" s="1"/>
      <c r="Z44" s="1"/>
    </row>
    <row r="45" spans="1:26" ht="15.6" x14ac:dyDescent="0.3">
      <c r="A45" s="18" t="s">
        <v>29</v>
      </c>
      <c r="B45" s="1"/>
      <c r="C45" s="1"/>
      <c r="D45" s="1"/>
      <c r="E45" s="1"/>
      <c r="F45" s="1"/>
      <c r="G45" s="1"/>
      <c r="H45" s="1"/>
      <c r="I45" s="1"/>
      <c r="J45" s="1"/>
      <c r="K45" s="1"/>
      <c r="L45" s="1"/>
      <c r="M45" s="1"/>
      <c r="N45" s="1"/>
      <c r="O45" s="1"/>
      <c r="P45" s="1"/>
      <c r="Q45" s="1"/>
      <c r="R45" s="1"/>
      <c r="S45" s="1"/>
      <c r="T45" s="1"/>
      <c r="U45" s="1"/>
      <c r="V45" s="1"/>
      <c r="W45" s="1"/>
      <c r="X45" s="1"/>
      <c r="Y45" s="1"/>
      <c r="Z45" s="1"/>
    </row>
    <row r="46" spans="1:26" x14ac:dyDescent="0.3">
      <c r="A46" s="16" t="s">
        <v>30</v>
      </c>
      <c r="B46" s="1"/>
      <c r="C46" s="1"/>
      <c r="D46" s="1"/>
      <c r="E46" s="1"/>
      <c r="F46" s="1"/>
      <c r="G46" s="1"/>
      <c r="H46" s="1"/>
      <c r="I46" s="1"/>
      <c r="J46" s="1"/>
      <c r="K46" s="1"/>
      <c r="L46" s="1"/>
      <c r="M46" s="1"/>
      <c r="N46" s="1"/>
      <c r="O46" s="1"/>
      <c r="P46" s="1"/>
      <c r="Q46" s="1"/>
      <c r="R46" s="1"/>
      <c r="S46" s="1"/>
      <c r="T46" s="1"/>
      <c r="U46" s="1"/>
      <c r="V46" s="1"/>
      <c r="W46" s="1"/>
      <c r="X46" s="1"/>
      <c r="Y46" s="1"/>
      <c r="Z46" s="1"/>
    </row>
    <row r="47" spans="1:26" x14ac:dyDescent="0.3">
      <c r="A47" s="16"/>
      <c r="B47" s="1"/>
      <c r="C47" s="1"/>
      <c r="D47" s="1"/>
      <c r="E47" s="1"/>
      <c r="F47" s="1"/>
      <c r="G47" s="1"/>
      <c r="H47" s="1"/>
      <c r="I47" s="1"/>
      <c r="J47" s="1"/>
      <c r="K47" s="1"/>
      <c r="L47" s="1"/>
      <c r="M47" s="1"/>
      <c r="N47" s="1"/>
      <c r="O47" s="1"/>
      <c r="P47" s="1"/>
      <c r="Q47" s="1"/>
      <c r="R47" s="1"/>
      <c r="S47" s="1"/>
      <c r="T47" s="1"/>
      <c r="U47" s="1"/>
      <c r="V47" s="1"/>
      <c r="W47" s="1"/>
      <c r="X47" s="1"/>
      <c r="Y47" s="1"/>
      <c r="Z47" s="1"/>
    </row>
    <row r="48" spans="1:26" ht="15.6" x14ac:dyDescent="0.3">
      <c r="A48" s="18" t="s">
        <v>31</v>
      </c>
      <c r="B48" s="1"/>
      <c r="C48" s="1"/>
      <c r="D48" s="1"/>
      <c r="E48" s="1"/>
      <c r="F48" s="1"/>
      <c r="G48" s="1"/>
      <c r="H48" s="1"/>
      <c r="I48" s="1"/>
      <c r="J48" s="1"/>
      <c r="K48" s="1"/>
      <c r="L48" s="1"/>
      <c r="M48" s="1"/>
      <c r="N48" s="1"/>
      <c r="O48" s="1"/>
      <c r="P48" s="1"/>
      <c r="Q48" s="1"/>
      <c r="R48" s="1"/>
      <c r="S48" s="1"/>
      <c r="T48" s="1"/>
      <c r="U48" s="1"/>
      <c r="V48" s="1"/>
      <c r="W48" s="1"/>
      <c r="X48" s="1"/>
      <c r="Y48" s="1"/>
      <c r="Z48" s="1"/>
    </row>
    <row r="49" spans="1:26" x14ac:dyDescent="0.3">
      <c r="A49" s="16" t="s">
        <v>32</v>
      </c>
      <c r="B49" s="1"/>
      <c r="C49" s="1"/>
      <c r="D49" s="1"/>
      <c r="E49" s="1"/>
      <c r="F49" s="1"/>
      <c r="G49" s="1"/>
      <c r="H49" s="1"/>
      <c r="I49" s="1"/>
      <c r="J49" s="1"/>
      <c r="K49" s="1"/>
      <c r="L49" s="1"/>
      <c r="M49" s="1"/>
      <c r="N49" s="1"/>
      <c r="O49" s="1"/>
      <c r="P49" s="1"/>
      <c r="Q49" s="1"/>
      <c r="R49" s="1"/>
      <c r="S49" s="1"/>
      <c r="T49" s="1"/>
      <c r="U49" s="1"/>
      <c r="V49" s="1"/>
      <c r="W49" s="1"/>
      <c r="X49" s="1"/>
      <c r="Y49" s="1"/>
      <c r="Z49" s="1"/>
    </row>
    <row r="50" spans="1:26" x14ac:dyDescent="0.3">
      <c r="A50" s="16" t="s">
        <v>33</v>
      </c>
      <c r="B50" s="1"/>
      <c r="C50" s="1"/>
      <c r="D50" s="1"/>
      <c r="E50" s="1"/>
      <c r="F50" s="1"/>
      <c r="G50" s="1"/>
      <c r="H50" s="1"/>
      <c r="I50" s="1"/>
      <c r="J50" s="1"/>
      <c r="K50" s="1"/>
      <c r="L50" s="1"/>
      <c r="M50" s="1"/>
      <c r="N50" s="1"/>
      <c r="O50" s="1"/>
      <c r="P50" s="1"/>
      <c r="Q50" s="1"/>
      <c r="R50" s="1"/>
      <c r="S50" s="1"/>
      <c r="T50" s="1"/>
      <c r="U50" s="1"/>
      <c r="V50" s="1"/>
      <c r="W50" s="1"/>
      <c r="X50" s="1"/>
      <c r="Y50" s="1"/>
      <c r="Z50" s="1"/>
    </row>
    <row r="51" spans="1:26" x14ac:dyDescent="0.3">
      <c r="A51" s="16"/>
      <c r="B51" s="1"/>
      <c r="C51" s="1"/>
      <c r="D51" s="1"/>
      <c r="E51" s="1"/>
      <c r="F51" s="1"/>
      <c r="G51" s="1"/>
      <c r="H51" s="1"/>
      <c r="I51" s="1"/>
      <c r="J51" s="1"/>
      <c r="K51" s="1"/>
      <c r="L51" s="1"/>
      <c r="M51" s="1"/>
      <c r="N51" s="1"/>
      <c r="O51" s="1"/>
      <c r="P51" s="1"/>
      <c r="Q51" s="1"/>
      <c r="R51" s="1"/>
      <c r="S51" s="1"/>
      <c r="T51" s="1"/>
      <c r="U51" s="1"/>
      <c r="V51" s="1"/>
      <c r="W51" s="1"/>
      <c r="X51" s="1"/>
      <c r="Y51" s="1"/>
      <c r="Z51" s="1"/>
    </row>
    <row r="52" spans="1:26" ht="15.6" x14ac:dyDescent="0.3">
      <c r="A52" s="18" t="s">
        <v>34</v>
      </c>
      <c r="B52" s="1"/>
      <c r="C52" s="1"/>
      <c r="D52" s="1"/>
      <c r="E52" s="1"/>
      <c r="F52" s="1"/>
      <c r="G52" s="1"/>
      <c r="H52" s="1"/>
      <c r="I52" s="1"/>
      <c r="J52" s="1"/>
      <c r="K52" s="1"/>
      <c r="L52" s="1"/>
      <c r="M52" s="1"/>
      <c r="N52" s="1"/>
      <c r="O52" s="1"/>
      <c r="P52" s="1"/>
      <c r="Q52" s="1"/>
      <c r="R52" s="1"/>
      <c r="S52" s="1"/>
      <c r="T52" s="1"/>
      <c r="U52" s="1"/>
      <c r="V52" s="1"/>
      <c r="W52" s="1"/>
      <c r="X52" s="1"/>
      <c r="Y52" s="1"/>
      <c r="Z52" s="1"/>
    </row>
    <row r="53" spans="1:26" x14ac:dyDescent="0.3">
      <c r="A53" s="16" t="s">
        <v>35</v>
      </c>
      <c r="B53" s="1"/>
      <c r="C53" s="1"/>
      <c r="D53" s="1"/>
      <c r="E53" s="1"/>
      <c r="F53" s="1"/>
      <c r="G53" s="1"/>
      <c r="H53" s="1"/>
      <c r="I53" s="1"/>
      <c r="J53" s="1"/>
      <c r="K53" s="1"/>
      <c r="L53" s="1"/>
      <c r="M53" s="1"/>
      <c r="N53" s="1"/>
      <c r="O53" s="1"/>
      <c r="P53" s="1"/>
      <c r="Q53" s="1"/>
      <c r="R53" s="1"/>
      <c r="S53" s="1"/>
      <c r="T53" s="1"/>
      <c r="U53" s="1"/>
      <c r="V53" s="1"/>
      <c r="W53" s="1"/>
      <c r="X53" s="1"/>
      <c r="Y53" s="1"/>
      <c r="Z53" s="1"/>
    </row>
    <row r="54" spans="1:26" x14ac:dyDescent="0.3">
      <c r="A54" s="16"/>
      <c r="B54" s="1"/>
      <c r="C54" s="1"/>
      <c r="D54" s="1"/>
      <c r="E54" s="1"/>
      <c r="F54" s="1"/>
      <c r="G54" s="1"/>
      <c r="H54" s="1"/>
      <c r="I54" s="1"/>
      <c r="J54" s="1"/>
      <c r="K54" s="1"/>
      <c r="L54" s="1"/>
      <c r="M54" s="1"/>
      <c r="N54" s="1"/>
      <c r="O54" s="1"/>
      <c r="P54" s="1"/>
      <c r="Q54" s="1"/>
      <c r="R54" s="1"/>
      <c r="S54" s="1"/>
      <c r="T54" s="1"/>
      <c r="U54" s="1"/>
      <c r="V54" s="1"/>
      <c r="W54" s="1"/>
      <c r="X54" s="1"/>
      <c r="Y54" s="1"/>
      <c r="Z54" s="1"/>
    </row>
    <row r="55" spans="1:26" ht="15.6" x14ac:dyDescent="0.3">
      <c r="A55" s="18" t="s">
        <v>36</v>
      </c>
      <c r="B55" s="1"/>
      <c r="C55" s="1"/>
      <c r="D55" s="1"/>
      <c r="E55" s="1"/>
      <c r="F55" s="1"/>
      <c r="G55" s="1"/>
      <c r="H55" s="1"/>
      <c r="I55" s="1"/>
      <c r="J55" s="1"/>
      <c r="K55" s="1"/>
      <c r="L55" s="1"/>
      <c r="M55" s="1"/>
      <c r="N55" s="1"/>
      <c r="O55" s="1"/>
      <c r="P55" s="1"/>
      <c r="Q55" s="1"/>
      <c r="R55" s="1"/>
      <c r="S55" s="1"/>
      <c r="T55" s="1"/>
      <c r="U55" s="1"/>
      <c r="V55" s="1"/>
      <c r="W55" s="1"/>
      <c r="X55" s="1"/>
      <c r="Y55" s="1"/>
      <c r="Z55" s="1"/>
    </row>
    <row r="56" spans="1:26" x14ac:dyDescent="0.3">
      <c r="A56" s="16" t="s">
        <v>37</v>
      </c>
      <c r="B56" s="1"/>
      <c r="C56" s="1"/>
      <c r="D56" s="1"/>
      <c r="E56" s="1"/>
      <c r="F56" s="1"/>
      <c r="G56" s="1"/>
      <c r="H56" s="1"/>
      <c r="I56" s="1"/>
      <c r="J56" s="1"/>
      <c r="K56" s="1"/>
      <c r="L56" s="1"/>
      <c r="M56" s="1"/>
      <c r="N56" s="1"/>
      <c r="O56" s="1"/>
      <c r="P56" s="1"/>
      <c r="Q56" s="1"/>
      <c r="R56" s="1"/>
      <c r="S56" s="1"/>
      <c r="T56" s="1"/>
      <c r="U56" s="1"/>
      <c r="V56" s="1"/>
      <c r="W56" s="1"/>
      <c r="X56" s="1"/>
      <c r="Y56" s="1"/>
      <c r="Z56" s="1"/>
    </row>
    <row r="57" spans="1:26" x14ac:dyDescent="0.3">
      <c r="A57" s="14"/>
      <c r="B57" s="1"/>
      <c r="C57" s="1"/>
      <c r="D57" s="1"/>
      <c r="E57" s="1"/>
      <c r="F57" s="1"/>
      <c r="G57" s="1"/>
      <c r="H57" s="1"/>
      <c r="I57" s="1"/>
      <c r="J57" s="1"/>
      <c r="K57" s="1"/>
      <c r="L57" s="1"/>
      <c r="M57" s="1"/>
      <c r="N57" s="1"/>
      <c r="O57" s="1"/>
      <c r="P57" s="1"/>
      <c r="Q57" s="1"/>
      <c r="R57" s="1"/>
      <c r="S57" s="1"/>
      <c r="T57" s="1"/>
      <c r="U57" s="1"/>
      <c r="V57" s="1"/>
      <c r="W57" s="1"/>
      <c r="X57" s="1"/>
      <c r="Y57" s="1"/>
      <c r="Z57" s="1"/>
    </row>
    <row r="58" spans="1:26" x14ac:dyDescent="0.3">
      <c r="A58" s="14"/>
      <c r="B58" s="1"/>
      <c r="C58" s="1"/>
      <c r="D58" s="1"/>
      <c r="E58" s="1"/>
      <c r="F58" s="1"/>
      <c r="G58" s="1"/>
      <c r="H58" s="1"/>
      <c r="I58" s="1"/>
      <c r="J58" s="1"/>
      <c r="K58" s="1"/>
      <c r="L58" s="1"/>
      <c r="M58" s="1"/>
      <c r="N58" s="1"/>
      <c r="O58" s="1"/>
      <c r="P58" s="1"/>
      <c r="Q58" s="1"/>
      <c r="R58" s="1"/>
      <c r="S58" s="1"/>
      <c r="T58" s="1"/>
      <c r="U58" s="1"/>
      <c r="V58" s="1"/>
      <c r="W58" s="1"/>
      <c r="X58" s="1"/>
      <c r="Y58" s="1"/>
      <c r="Z58" s="1"/>
    </row>
    <row r="59" spans="1:26" x14ac:dyDescent="0.3">
      <c r="A59" s="14"/>
      <c r="B59" s="1"/>
      <c r="C59" s="1"/>
      <c r="D59" s="1"/>
      <c r="E59" s="1"/>
      <c r="F59" s="1"/>
      <c r="G59" s="1"/>
      <c r="H59" s="1"/>
      <c r="I59" s="1"/>
      <c r="J59" s="1"/>
      <c r="K59" s="1"/>
      <c r="L59" s="1"/>
      <c r="M59" s="1"/>
      <c r="N59" s="1"/>
      <c r="O59" s="1"/>
      <c r="P59" s="1"/>
      <c r="Q59" s="1"/>
      <c r="R59" s="1"/>
      <c r="S59" s="1"/>
      <c r="T59" s="1"/>
      <c r="U59" s="1"/>
      <c r="V59" s="1"/>
      <c r="W59" s="1"/>
      <c r="X59" s="1"/>
      <c r="Y59" s="1"/>
      <c r="Z59" s="1"/>
    </row>
    <row r="60" spans="1:26" x14ac:dyDescent="0.3">
      <c r="A60" s="14"/>
      <c r="B60" s="1"/>
      <c r="C60" s="1"/>
      <c r="D60" s="1"/>
      <c r="E60" s="1"/>
      <c r="F60" s="1"/>
      <c r="G60" s="1"/>
      <c r="H60" s="1"/>
      <c r="I60" s="1"/>
      <c r="J60" s="1"/>
      <c r="K60" s="1"/>
      <c r="L60" s="1"/>
      <c r="M60" s="1"/>
      <c r="N60" s="1"/>
      <c r="O60" s="1"/>
      <c r="P60" s="1"/>
      <c r="Q60" s="1"/>
      <c r="R60" s="1"/>
      <c r="S60" s="1"/>
      <c r="T60" s="1"/>
      <c r="U60" s="1"/>
      <c r="V60" s="1"/>
      <c r="W60" s="1"/>
      <c r="X60" s="1"/>
      <c r="Y60" s="1"/>
      <c r="Z60" s="1"/>
    </row>
    <row r="61" spans="1:26" x14ac:dyDescent="0.3">
      <c r="A61" s="14"/>
      <c r="B61" s="1"/>
      <c r="C61" s="1"/>
      <c r="D61" s="1"/>
      <c r="E61" s="1"/>
      <c r="F61" s="1"/>
      <c r="G61" s="1"/>
      <c r="H61" s="1"/>
      <c r="I61" s="1"/>
      <c r="J61" s="1"/>
      <c r="K61" s="1"/>
      <c r="L61" s="1"/>
      <c r="M61" s="1"/>
      <c r="N61" s="1"/>
      <c r="O61" s="1"/>
      <c r="P61" s="1"/>
      <c r="Q61" s="1"/>
      <c r="R61" s="1"/>
      <c r="S61" s="1"/>
      <c r="T61" s="1"/>
      <c r="U61" s="1"/>
      <c r="V61" s="1"/>
      <c r="W61" s="1"/>
      <c r="X61" s="1"/>
      <c r="Y61" s="1"/>
      <c r="Z61" s="1"/>
    </row>
    <row r="62" spans="1:26" x14ac:dyDescent="0.3">
      <c r="A62" s="14"/>
      <c r="B62" s="1"/>
      <c r="C62" s="1"/>
      <c r="D62" s="1"/>
      <c r="E62" s="1"/>
      <c r="F62" s="1"/>
      <c r="G62" s="1"/>
      <c r="H62" s="1"/>
      <c r="I62" s="1"/>
      <c r="J62" s="1"/>
      <c r="K62" s="1"/>
      <c r="L62" s="1"/>
      <c r="M62" s="1"/>
      <c r="N62" s="1"/>
      <c r="O62" s="1"/>
      <c r="P62" s="1"/>
      <c r="Q62" s="1"/>
      <c r="R62" s="1"/>
      <c r="S62" s="1"/>
      <c r="T62" s="1"/>
      <c r="U62" s="1"/>
      <c r="V62" s="1"/>
      <c r="W62" s="1"/>
      <c r="X62" s="1"/>
      <c r="Y62" s="1"/>
      <c r="Z62" s="1"/>
    </row>
    <row r="63" spans="1:26" x14ac:dyDescent="0.3">
      <c r="A63" s="14"/>
      <c r="B63" s="1"/>
      <c r="C63" s="1"/>
      <c r="D63" s="1"/>
      <c r="E63" s="1"/>
      <c r="F63" s="1"/>
      <c r="G63" s="1"/>
      <c r="H63" s="1"/>
      <c r="I63" s="1"/>
      <c r="J63" s="1"/>
      <c r="K63" s="1"/>
      <c r="L63" s="1"/>
      <c r="M63" s="1"/>
      <c r="N63" s="1"/>
      <c r="O63" s="1"/>
      <c r="P63" s="1"/>
      <c r="Q63" s="1"/>
      <c r="R63" s="1"/>
      <c r="S63" s="1"/>
      <c r="T63" s="1"/>
      <c r="U63" s="1"/>
      <c r="V63" s="1"/>
      <c r="W63" s="1"/>
      <c r="X63" s="1"/>
      <c r="Y63" s="1"/>
      <c r="Z63" s="1"/>
    </row>
    <row r="64" spans="1:26" x14ac:dyDescent="0.3">
      <c r="A64" s="14"/>
      <c r="B64" s="1"/>
      <c r="C64" s="1"/>
      <c r="D64" s="1"/>
      <c r="E64" s="1"/>
      <c r="F64" s="1"/>
      <c r="G64" s="1"/>
      <c r="H64" s="1"/>
      <c r="I64" s="1"/>
      <c r="J64" s="1"/>
      <c r="K64" s="1"/>
      <c r="L64" s="1"/>
      <c r="M64" s="1"/>
      <c r="N64" s="1"/>
      <c r="O64" s="1"/>
      <c r="P64" s="1"/>
      <c r="Q64" s="1"/>
      <c r="R64" s="1"/>
      <c r="S64" s="1"/>
      <c r="T64" s="1"/>
      <c r="U64" s="1"/>
      <c r="V64" s="1"/>
      <c r="W64" s="1"/>
      <c r="X64" s="1"/>
      <c r="Y64" s="1"/>
      <c r="Z64" s="1"/>
    </row>
    <row r="65" spans="1:26" x14ac:dyDescent="0.3">
      <c r="A65" s="14"/>
      <c r="B65" s="1"/>
      <c r="C65" s="1"/>
      <c r="D65" s="1"/>
      <c r="E65" s="1"/>
      <c r="F65" s="1"/>
      <c r="G65" s="1"/>
      <c r="H65" s="1"/>
      <c r="I65" s="1"/>
      <c r="J65" s="1"/>
      <c r="K65" s="1"/>
      <c r="L65" s="1"/>
      <c r="M65" s="1"/>
      <c r="N65" s="1"/>
      <c r="O65" s="1"/>
      <c r="P65" s="1"/>
      <c r="Q65" s="1"/>
      <c r="R65" s="1"/>
      <c r="S65" s="1"/>
      <c r="T65" s="1"/>
      <c r="U65" s="1"/>
      <c r="V65" s="1"/>
      <c r="W65" s="1"/>
      <c r="X65" s="1"/>
      <c r="Y65" s="1"/>
      <c r="Z65" s="1"/>
    </row>
    <row r="66" spans="1:26" x14ac:dyDescent="0.3">
      <c r="A66" s="14"/>
      <c r="B66" s="1"/>
      <c r="C66" s="1"/>
      <c r="D66" s="1"/>
      <c r="E66" s="1"/>
      <c r="F66" s="1"/>
      <c r="G66" s="1"/>
      <c r="H66" s="1"/>
      <c r="I66" s="1"/>
      <c r="J66" s="1"/>
      <c r="K66" s="1"/>
      <c r="L66" s="1"/>
      <c r="M66" s="1"/>
      <c r="N66" s="1"/>
      <c r="O66" s="1"/>
      <c r="P66" s="1"/>
      <c r="Q66" s="1"/>
      <c r="R66" s="1"/>
      <c r="S66" s="1"/>
      <c r="T66" s="1"/>
      <c r="U66" s="1"/>
      <c r="V66" s="1"/>
      <c r="W66" s="1"/>
      <c r="X66" s="1"/>
      <c r="Y66" s="1"/>
      <c r="Z66" s="1"/>
    </row>
    <row r="67" spans="1:26" x14ac:dyDescent="0.3">
      <c r="A67" s="14"/>
      <c r="B67" s="1"/>
      <c r="C67" s="1"/>
      <c r="D67" s="1"/>
      <c r="E67" s="1"/>
      <c r="F67" s="1"/>
      <c r="G67" s="1"/>
      <c r="H67" s="1"/>
      <c r="I67" s="1"/>
      <c r="J67" s="1"/>
      <c r="K67" s="1"/>
      <c r="L67" s="1"/>
      <c r="M67" s="1"/>
      <c r="N67" s="1"/>
      <c r="O67" s="1"/>
      <c r="P67" s="1"/>
      <c r="Q67" s="1"/>
      <c r="R67" s="1"/>
      <c r="S67" s="1"/>
      <c r="T67" s="1"/>
      <c r="U67" s="1"/>
      <c r="V67" s="1"/>
      <c r="W67" s="1"/>
      <c r="X67" s="1"/>
      <c r="Y67" s="1"/>
      <c r="Z67" s="1"/>
    </row>
    <row r="68" spans="1:26" x14ac:dyDescent="0.3">
      <c r="A68" s="14"/>
      <c r="B68" s="1"/>
      <c r="C68" s="1"/>
      <c r="D68" s="1"/>
      <c r="E68" s="1"/>
      <c r="F68" s="1"/>
      <c r="G68" s="1"/>
      <c r="H68" s="1"/>
      <c r="I68" s="1"/>
      <c r="J68" s="1"/>
      <c r="K68" s="1"/>
      <c r="L68" s="1"/>
      <c r="M68" s="1"/>
      <c r="N68" s="1"/>
      <c r="O68" s="1"/>
      <c r="P68" s="1"/>
      <c r="Q68" s="1"/>
      <c r="R68" s="1"/>
      <c r="S68" s="1"/>
      <c r="T68" s="1"/>
      <c r="U68" s="1"/>
      <c r="V68" s="1"/>
      <c r="W68" s="1"/>
      <c r="X68" s="1"/>
      <c r="Y68" s="1"/>
      <c r="Z68" s="1"/>
    </row>
    <row r="69" spans="1:26" x14ac:dyDescent="0.3">
      <c r="A69" s="14"/>
      <c r="B69" s="1"/>
      <c r="C69" s="1"/>
      <c r="D69" s="1"/>
      <c r="E69" s="1"/>
      <c r="F69" s="1"/>
      <c r="G69" s="1"/>
      <c r="H69" s="1"/>
      <c r="I69" s="1"/>
      <c r="J69" s="1"/>
      <c r="K69" s="1"/>
      <c r="L69" s="1"/>
      <c r="M69" s="1"/>
      <c r="N69" s="1"/>
      <c r="O69" s="1"/>
      <c r="P69" s="1"/>
      <c r="Q69" s="1"/>
      <c r="R69" s="1"/>
      <c r="S69" s="1"/>
      <c r="T69" s="1"/>
      <c r="U69" s="1"/>
      <c r="V69" s="1"/>
      <c r="W69" s="1"/>
      <c r="X69" s="1"/>
      <c r="Y69" s="1"/>
      <c r="Z69" s="1"/>
    </row>
    <row r="70" spans="1:26" x14ac:dyDescent="0.3">
      <c r="A70" s="14"/>
      <c r="B70" s="1"/>
      <c r="C70" s="1"/>
      <c r="D70" s="1"/>
      <c r="E70" s="1"/>
      <c r="F70" s="1"/>
      <c r="G70" s="1"/>
      <c r="H70" s="1"/>
      <c r="I70" s="1"/>
      <c r="J70" s="1"/>
      <c r="K70" s="1"/>
      <c r="L70" s="1"/>
      <c r="M70" s="1"/>
      <c r="N70" s="1"/>
      <c r="O70" s="1"/>
      <c r="P70" s="1"/>
      <c r="Q70" s="1"/>
      <c r="R70" s="1"/>
      <c r="S70" s="1"/>
      <c r="T70" s="1"/>
      <c r="U70" s="1"/>
      <c r="V70" s="1"/>
      <c r="W70" s="1"/>
      <c r="X70" s="1"/>
      <c r="Y70" s="1"/>
      <c r="Z70" s="1"/>
    </row>
    <row r="71" spans="1:26" x14ac:dyDescent="0.3">
      <c r="A71" s="14"/>
      <c r="B71" s="1"/>
      <c r="C71" s="1"/>
      <c r="D71" s="1"/>
      <c r="E71" s="1"/>
      <c r="F71" s="1"/>
      <c r="G71" s="1"/>
      <c r="H71" s="1"/>
      <c r="I71" s="1"/>
      <c r="J71" s="1"/>
      <c r="K71" s="1"/>
      <c r="L71" s="1"/>
      <c r="M71" s="1"/>
      <c r="N71" s="1"/>
      <c r="O71" s="1"/>
      <c r="P71" s="1"/>
      <c r="Q71" s="1"/>
      <c r="R71" s="1"/>
      <c r="S71" s="1"/>
      <c r="T71" s="1"/>
      <c r="U71" s="1"/>
      <c r="V71" s="1"/>
      <c r="W71" s="1"/>
      <c r="X71" s="1"/>
      <c r="Y71" s="1"/>
      <c r="Z71" s="1"/>
    </row>
    <row r="72" spans="1:26" x14ac:dyDescent="0.3">
      <c r="A72" s="14"/>
      <c r="B72" s="1"/>
      <c r="C72" s="1"/>
      <c r="D72" s="1"/>
      <c r="E72" s="1"/>
      <c r="F72" s="1"/>
      <c r="G72" s="1"/>
      <c r="H72" s="1"/>
      <c r="I72" s="1"/>
      <c r="J72" s="1"/>
      <c r="K72" s="1"/>
      <c r="L72" s="1"/>
      <c r="M72" s="1"/>
      <c r="N72" s="1"/>
      <c r="O72" s="1"/>
      <c r="P72" s="1"/>
      <c r="Q72" s="1"/>
      <c r="R72" s="1"/>
      <c r="S72" s="1"/>
      <c r="T72" s="1"/>
      <c r="U72" s="1"/>
      <c r="V72" s="1"/>
      <c r="W72" s="1"/>
      <c r="X72" s="1"/>
      <c r="Y72" s="1"/>
      <c r="Z72" s="1"/>
    </row>
    <row r="73" spans="1:26" x14ac:dyDescent="0.3">
      <c r="A73" s="14"/>
      <c r="B73" s="1"/>
      <c r="C73" s="1"/>
      <c r="D73" s="1"/>
      <c r="E73" s="1"/>
      <c r="F73" s="1"/>
      <c r="G73" s="1"/>
      <c r="H73" s="1"/>
      <c r="I73" s="1"/>
      <c r="J73" s="1"/>
      <c r="K73" s="1"/>
      <c r="L73" s="1"/>
      <c r="M73" s="1"/>
      <c r="N73" s="1"/>
      <c r="O73" s="1"/>
      <c r="P73" s="1"/>
      <c r="Q73" s="1"/>
      <c r="R73" s="1"/>
      <c r="S73" s="1"/>
      <c r="T73" s="1"/>
      <c r="U73" s="1"/>
      <c r="V73" s="1"/>
      <c r="W73" s="1"/>
      <c r="X73" s="1"/>
      <c r="Y73" s="1"/>
      <c r="Z73" s="1"/>
    </row>
    <row r="74" spans="1:26" x14ac:dyDescent="0.3">
      <c r="A74" s="14"/>
      <c r="B74" s="1"/>
      <c r="C74" s="1"/>
      <c r="D74" s="1"/>
      <c r="E74" s="1"/>
      <c r="F74" s="1"/>
      <c r="G74" s="1"/>
      <c r="H74" s="1"/>
      <c r="I74" s="1"/>
      <c r="J74" s="1"/>
      <c r="K74" s="1"/>
      <c r="L74" s="1"/>
      <c r="M74" s="1"/>
      <c r="N74" s="1"/>
      <c r="O74" s="1"/>
      <c r="P74" s="1"/>
      <c r="Q74" s="1"/>
      <c r="R74" s="1"/>
      <c r="S74" s="1"/>
      <c r="T74" s="1"/>
      <c r="U74" s="1"/>
      <c r="V74" s="1"/>
      <c r="W74" s="1"/>
      <c r="X74" s="1"/>
      <c r="Y74" s="1"/>
      <c r="Z74" s="1"/>
    </row>
    <row r="75" spans="1:26" x14ac:dyDescent="0.3">
      <c r="A75" s="14"/>
      <c r="B75" s="1"/>
      <c r="C75" s="1"/>
      <c r="D75" s="1"/>
      <c r="E75" s="1"/>
      <c r="F75" s="1"/>
      <c r="G75" s="1"/>
      <c r="H75" s="1"/>
      <c r="I75" s="1"/>
      <c r="J75" s="1"/>
      <c r="K75" s="1"/>
      <c r="L75" s="1"/>
      <c r="M75" s="1"/>
      <c r="N75" s="1"/>
      <c r="O75" s="1"/>
      <c r="P75" s="1"/>
      <c r="Q75" s="1"/>
      <c r="R75" s="1"/>
      <c r="S75" s="1"/>
      <c r="T75" s="1"/>
      <c r="U75" s="1"/>
      <c r="V75" s="1"/>
      <c r="W75" s="1"/>
      <c r="X75" s="1"/>
      <c r="Y75" s="1"/>
      <c r="Z75" s="1"/>
    </row>
    <row r="76" spans="1:26" x14ac:dyDescent="0.3">
      <c r="A76" s="14"/>
      <c r="B76" s="1"/>
      <c r="C76" s="1"/>
      <c r="D76" s="1"/>
      <c r="E76" s="1"/>
      <c r="F76" s="1"/>
      <c r="G76" s="1"/>
      <c r="H76" s="1"/>
      <c r="I76" s="1"/>
      <c r="J76" s="1"/>
      <c r="K76" s="1"/>
      <c r="L76" s="1"/>
      <c r="M76" s="1"/>
      <c r="N76" s="1"/>
      <c r="O76" s="1"/>
      <c r="P76" s="1"/>
      <c r="Q76" s="1"/>
      <c r="R76" s="1"/>
      <c r="S76" s="1"/>
      <c r="T76" s="1"/>
      <c r="U76" s="1"/>
      <c r="V76" s="1"/>
      <c r="W76" s="1"/>
      <c r="X76" s="1"/>
      <c r="Y76" s="1"/>
      <c r="Z76" s="1"/>
    </row>
    <row r="77" spans="1:26" x14ac:dyDescent="0.3">
      <c r="A77" s="14"/>
      <c r="B77" s="1"/>
      <c r="C77" s="1"/>
      <c r="D77" s="1"/>
      <c r="E77" s="1"/>
      <c r="F77" s="1"/>
      <c r="G77" s="1"/>
      <c r="H77" s="1"/>
      <c r="I77" s="1"/>
      <c r="J77" s="1"/>
      <c r="K77" s="1"/>
      <c r="L77" s="1"/>
      <c r="M77" s="1"/>
      <c r="N77" s="1"/>
      <c r="O77" s="1"/>
      <c r="P77" s="1"/>
      <c r="Q77" s="1"/>
      <c r="R77" s="1"/>
      <c r="S77" s="1"/>
      <c r="T77" s="1"/>
      <c r="U77" s="1"/>
      <c r="V77" s="1"/>
      <c r="W77" s="1"/>
      <c r="X77" s="1"/>
      <c r="Y77" s="1"/>
      <c r="Z77" s="1"/>
    </row>
    <row r="78" spans="1:26" x14ac:dyDescent="0.3">
      <c r="A78" s="14"/>
      <c r="B78" s="1"/>
      <c r="C78" s="1"/>
      <c r="D78" s="1"/>
      <c r="E78" s="1"/>
      <c r="F78" s="1"/>
      <c r="G78" s="1"/>
      <c r="H78" s="1"/>
      <c r="I78" s="1"/>
      <c r="J78" s="1"/>
      <c r="K78" s="1"/>
      <c r="L78" s="1"/>
      <c r="M78" s="1"/>
      <c r="N78" s="1"/>
      <c r="O78" s="1"/>
      <c r="P78" s="1"/>
      <c r="Q78" s="1"/>
      <c r="R78" s="1"/>
      <c r="S78" s="1"/>
      <c r="T78" s="1"/>
      <c r="U78" s="1"/>
      <c r="V78" s="1"/>
      <c r="W78" s="1"/>
      <c r="X78" s="1"/>
      <c r="Y78" s="1"/>
      <c r="Z78" s="1"/>
    </row>
    <row r="79" spans="1:26" x14ac:dyDescent="0.3">
      <c r="A79" s="14"/>
      <c r="B79" s="1"/>
      <c r="C79" s="1"/>
      <c r="D79" s="1"/>
      <c r="E79" s="1"/>
      <c r="F79" s="1"/>
      <c r="G79" s="1"/>
      <c r="H79" s="1"/>
      <c r="I79" s="1"/>
      <c r="J79" s="1"/>
      <c r="K79" s="1"/>
      <c r="L79" s="1"/>
      <c r="M79" s="1"/>
      <c r="N79" s="1"/>
      <c r="O79" s="1"/>
      <c r="P79" s="1"/>
      <c r="Q79" s="1"/>
      <c r="R79" s="1"/>
      <c r="S79" s="1"/>
      <c r="T79" s="1"/>
      <c r="U79" s="1"/>
      <c r="V79" s="1"/>
      <c r="W79" s="1"/>
      <c r="X79" s="1"/>
      <c r="Y79" s="1"/>
      <c r="Z79" s="1"/>
    </row>
    <row r="80" spans="1:26" x14ac:dyDescent="0.3">
      <c r="A80" s="14"/>
      <c r="B80" s="1"/>
      <c r="C80" s="1"/>
      <c r="D80" s="1"/>
      <c r="E80" s="1"/>
      <c r="F80" s="1"/>
      <c r="G80" s="1"/>
      <c r="H80" s="1"/>
      <c r="I80" s="1"/>
      <c r="J80" s="1"/>
      <c r="K80" s="1"/>
      <c r="L80" s="1"/>
      <c r="M80" s="1"/>
      <c r="N80" s="1"/>
      <c r="O80" s="1"/>
      <c r="P80" s="1"/>
      <c r="Q80" s="1"/>
      <c r="R80" s="1"/>
      <c r="S80" s="1"/>
      <c r="T80" s="1"/>
      <c r="U80" s="1"/>
      <c r="V80" s="1"/>
      <c r="W80" s="1"/>
      <c r="X80" s="1"/>
      <c r="Y80" s="1"/>
      <c r="Z80" s="1"/>
    </row>
    <row r="81" spans="1:26" x14ac:dyDescent="0.3">
      <c r="A81" s="14"/>
      <c r="B81" s="1"/>
      <c r="C81" s="1"/>
      <c r="D81" s="1"/>
      <c r="E81" s="1"/>
      <c r="F81" s="1"/>
      <c r="G81" s="1"/>
      <c r="H81" s="1"/>
      <c r="I81" s="1"/>
      <c r="J81" s="1"/>
      <c r="K81" s="1"/>
      <c r="L81" s="1"/>
      <c r="M81" s="1"/>
      <c r="N81" s="1"/>
      <c r="O81" s="1"/>
      <c r="P81" s="1"/>
      <c r="Q81" s="1"/>
      <c r="R81" s="1"/>
      <c r="S81" s="1"/>
      <c r="T81" s="1"/>
      <c r="U81" s="1"/>
      <c r="V81" s="1"/>
      <c r="W81" s="1"/>
      <c r="X81" s="1"/>
      <c r="Y81" s="1"/>
      <c r="Z81" s="1"/>
    </row>
    <row r="82" spans="1:26" x14ac:dyDescent="0.3">
      <c r="A82" s="14"/>
      <c r="B82" s="1"/>
      <c r="C82" s="1"/>
      <c r="D82" s="1"/>
      <c r="E82" s="1"/>
      <c r="F82" s="1"/>
      <c r="G82" s="1"/>
      <c r="H82" s="1"/>
      <c r="I82" s="1"/>
      <c r="J82" s="1"/>
      <c r="K82" s="1"/>
      <c r="L82" s="1"/>
      <c r="M82" s="1"/>
      <c r="N82" s="1"/>
      <c r="O82" s="1"/>
      <c r="P82" s="1"/>
      <c r="Q82" s="1"/>
      <c r="R82" s="1"/>
      <c r="S82" s="1"/>
      <c r="T82" s="1"/>
      <c r="U82" s="1"/>
      <c r="V82" s="1"/>
      <c r="W82" s="1"/>
      <c r="X82" s="1"/>
      <c r="Y82" s="1"/>
      <c r="Z82" s="1"/>
    </row>
    <row r="83" spans="1:26" x14ac:dyDescent="0.3">
      <c r="A83" s="14"/>
      <c r="B83" s="1"/>
      <c r="C83" s="1"/>
      <c r="D83" s="1"/>
      <c r="E83" s="1"/>
      <c r="F83" s="1"/>
      <c r="G83" s="1"/>
      <c r="H83" s="1"/>
      <c r="I83" s="1"/>
      <c r="J83" s="1"/>
      <c r="K83" s="1"/>
      <c r="L83" s="1"/>
      <c r="M83" s="1"/>
      <c r="N83" s="1"/>
      <c r="O83" s="1"/>
      <c r="P83" s="1"/>
      <c r="Q83" s="1"/>
      <c r="R83" s="1"/>
      <c r="S83" s="1"/>
      <c r="T83" s="1"/>
      <c r="U83" s="1"/>
      <c r="V83" s="1"/>
      <c r="W83" s="1"/>
      <c r="X83" s="1"/>
      <c r="Y83" s="1"/>
      <c r="Z83" s="1"/>
    </row>
    <row r="84" spans="1:26" x14ac:dyDescent="0.3">
      <c r="A84" s="14"/>
      <c r="B84" s="1"/>
      <c r="C84" s="1"/>
      <c r="D84" s="1"/>
      <c r="E84" s="1"/>
      <c r="F84" s="1"/>
      <c r="G84" s="1"/>
      <c r="H84" s="1"/>
      <c r="I84" s="1"/>
      <c r="J84" s="1"/>
      <c r="K84" s="1"/>
      <c r="L84" s="1"/>
      <c r="M84" s="1"/>
      <c r="N84" s="1"/>
      <c r="O84" s="1"/>
      <c r="P84" s="1"/>
      <c r="Q84" s="1"/>
      <c r="R84" s="1"/>
      <c r="S84" s="1"/>
      <c r="T84" s="1"/>
      <c r="U84" s="1"/>
      <c r="V84" s="1"/>
      <c r="W84" s="1"/>
      <c r="X84" s="1"/>
      <c r="Y84" s="1"/>
      <c r="Z84" s="1"/>
    </row>
    <row r="85" spans="1:26" x14ac:dyDescent="0.3">
      <c r="A85" s="14"/>
      <c r="B85" s="1"/>
      <c r="C85" s="1"/>
      <c r="D85" s="1"/>
      <c r="E85" s="1"/>
      <c r="F85" s="1"/>
      <c r="G85" s="1"/>
      <c r="H85" s="1"/>
      <c r="I85" s="1"/>
      <c r="J85" s="1"/>
      <c r="K85" s="1"/>
      <c r="L85" s="1"/>
      <c r="M85" s="1"/>
      <c r="N85" s="1"/>
      <c r="O85" s="1"/>
      <c r="P85" s="1"/>
      <c r="Q85" s="1"/>
      <c r="R85" s="1"/>
      <c r="S85" s="1"/>
      <c r="T85" s="1"/>
      <c r="U85" s="1"/>
      <c r="V85" s="1"/>
      <c r="W85" s="1"/>
      <c r="X85" s="1"/>
      <c r="Y85" s="1"/>
      <c r="Z85" s="1"/>
    </row>
    <row r="86" spans="1:26" x14ac:dyDescent="0.3">
      <c r="A86" s="14"/>
      <c r="B86" s="1"/>
      <c r="C86" s="1"/>
      <c r="D86" s="1"/>
      <c r="E86" s="1"/>
      <c r="F86" s="1"/>
      <c r="G86" s="1"/>
      <c r="H86" s="1"/>
      <c r="I86" s="1"/>
      <c r="J86" s="1"/>
      <c r="K86" s="1"/>
      <c r="L86" s="1"/>
      <c r="M86" s="1"/>
      <c r="N86" s="1"/>
      <c r="O86" s="1"/>
      <c r="P86" s="1"/>
      <c r="Q86" s="1"/>
      <c r="R86" s="1"/>
      <c r="S86" s="1"/>
      <c r="T86" s="1"/>
      <c r="U86" s="1"/>
      <c r="V86" s="1"/>
      <c r="W86" s="1"/>
      <c r="X86" s="1"/>
      <c r="Y86" s="1"/>
      <c r="Z86" s="1"/>
    </row>
    <row r="87" spans="1:26" x14ac:dyDescent="0.3">
      <c r="A87" s="14"/>
      <c r="B87" s="1"/>
      <c r="C87" s="1"/>
      <c r="D87" s="1"/>
      <c r="E87" s="1"/>
      <c r="F87" s="1"/>
      <c r="G87" s="1"/>
      <c r="H87" s="1"/>
      <c r="I87" s="1"/>
      <c r="J87" s="1"/>
      <c r="K87" s="1"/>
      <c r="L87" s="1"/>
      <c r="M87" s="1"/>
      <c r="N87" s="1"/>
      <c r="O87" s="1"/>
      <c r="P87" s="1"/>
      <c r="Q87" s="1"/>
      <c r="R87" s="1"/>
      <c r="S87" s="1"/>
      <c r="T87" s="1"/>
      <c r="U87" s="1"/>
      <c r="V87" s="1"/>
      <c r="W87" s="1"/>
      <c r="X87" s="1"/>
      <c r="Y87" s="1"/>
      <c r="Z87" s="1"/>
    </row>
    <row r="88" spans="1:26" x14ac:dyDescent="0.3">
      <c r="A88" s="14"/>
      <c r="B88" s="1"/>
      <c r="C88" s="1"/>
      <c r="D88" s="1"/>
      <c r="E88" s="1"/>
      <c r="F88" s="1"/>
      <c r="G88" s="1"/>
      <c r="H88" s="1"/>
      <c r="I88" s="1"/>
      <c r="J88" s="1"/>
      <c r="K88" s="1"/>
      <c r="L88" s="1"/>
      <c r="M88" s="1"/>
      <c r="N88" s="1"/>
      <c r="O88" s="1"/>
      <c r="P88" s="1"/>
      <c r="Q88" s="1"/>
      <c r="R88" s="1"/>
      <c r="S88" s="1"/>
      <c r="T88" s="1"/>
      <c r="U88" s="1"/>
      <c r="V88" s="1"/>
      <c r="W88" s="1"/>
      <c r="X88" s="1"/>
      <c r="Y88" s="1"/>
      <c r="Z88" s="1"/>
    </row>
    <row r="89" spans="1:26" x14ac:dyDescent="0.3">
      <c r="A89" s="14"/>
      <c r="B89" s="1"/>
      <c r="C89" s="1"/>
      <c r="D89" s="1"/>
      <c r="E89" s="1"/>
      <c r="F89" s="1"/>
      <c r="G89" s="1"/>
      <c r="H89" s="1"/>
      <c r="I89" s="1"/>
      <c r="J89" s="1"/>
      <c r="K89" s="1"/>
      <c r="L89" s="1"/>
      <c r="M89" s="1"/>
      <c r="N89" s="1"/>
      <c r="O89" s="1"/>
      <c r="P89" s="1"/>
      <c r="Q89" s="1"/>
      <c r="R89" s="1"/>
      <c r="S89" s="1"/>
      <c r="T89" s="1"/>
      <c r="U89" s="1"/>
      <c r="V89" s="1"/>
      <c r="W89" s="1"/>
      <c r="X89" s="1"/>
      <c r="Y89" s="1"/>
      <c r="Z89" s="1"/>
    </row>
    <row r="90" spans="1:26" x14ac:dyDescent="0.3">
      <c r="A90" s="14"/>
      <c r="B90" s="1"/>
      <c r="C90" s="1"/>
      <c r="D90" s="1"/>
      <c r="E90" s="1"/>
      <c r="F90" s="1"/>
      <c r="G90" s="1"/>
      <c r="H90" s="1"/>
      <c r="I90" s="1"/>
      <c r="J90" s="1"/>
      <c r="K90" s="1"/>
      <c r="L90" s="1"/>
      <c r="M90" s="1"/>
      <c r="N90" s="1"/>
      <c r="O90" s="1"/>
      <c r="P90" s="1"/>
      <c r="Q90" s="1"/>
      <c r="R90" s="1"/>
      <c r="S90" s="1"/>
      <c r="T90" s="1"/>
      <c r="U90" s="1"/>
      <c r="V90" s="1"/>
      <c r="W90" s="1"/>
      <c r="X90" s="1"/>
      <c r="Y90" s="1"/>
      <c r="Z90" s="1"/>
    </row>
    <row r="91" spans="1:26" x14ac:dyDescent="0.3">
      <c r="A91" s="14"/>
      <c r="B91" s="1"/>
      <c r="C91" s="1"/>
      <c r="D91" s="1"/>
      <c r="E91" s="1"/>
      <c r="F91" s="1"/>
      <c r="G91" s="1"/>
      <c r="H91" s="1"/>
      <c r="I91" s="1"/>
      <c r="J91" s="1"/>
      <c r="K91" s="1"/>
      <c r="L91" s="1"/>
      <c r="M91" s="1"/>
      <c r="N91" s="1"/>
      <c r="O91" s="1"/>
      <c r="P91" s="1"/>
      <c r="Q91" s="1"/>
      <c r="R91" s="1"/>
      <c r="S91" s="1"/>
      <c r="T91" s="1"/>
      <c r="U91" s="1"/>
      <c r="V91" s="1"/>
      <c r="W91" s="1"/>
      <c r="X91" s="1"/>
      <c r="Y91" s="1"/>
      <c r="Z91" s="1"/>
    </row>
    <row r="92" spans="1:26" x14ac:dyDescent="0.3">
      <c r="A92" s="14"/>
      <c r="B92" s="1"/>
      <c r="C92" s="1"/>
      <c r="D92" s="1"/>
      <c r="E92" s="1"/>
      <c r="F92" s="1"/>
      <c r="G92" s="1"/>
      <c r="H92" s="1"/>
      <c r="I92" s="1"/>
      <c r="J92" s="1"/>
      <c r="K92" s="1"/>
      <c r="L92" s="1"/>
      <c r="M92" s="1"/>
      <c r="N92" s="1"/>
      <c r="O92" s="1"/>
      <c r="P92" s="1"/>
      <c r="Q92" s="1"/>
      <c r="R92" s="1"/>
      <c r="S92" s="1"/>
      <c r="T92" s="1"/>
      <c r="U92" s="1"/>
      <c r="V92" s="1"/>
      <c r="W92" s="1"/>
      <c r="X92" s="1"/>
      <c r="Y92" s="1"/>
      <c r="Z92" s="1"/>
    </row>
    <row r="93" spans="1:26" x14ac:dyDescent="0.3">
      <c r="A93" s="14"/>
      <c r="B93" s="1"/>
      <c r="C93" s="1"/>
      <c r="D93" s="1"/>
      <c r="E93" s="1"/>
      <c r="F93" s="1"/>
      <c r="G93" s="1"/>
      <c r="H93" s="1"/>
      <c r="I93" s="1"/>
      <c r="J93" s="1"/>
      <c r="K93" s="1"/>
      <c r="L93" s="1"/>
      <c r="M93" s="1"/>
      <c r="N93" s="1"/>
      <c r="O93" s="1"/>
      <c r="P93" s="1"/>
      <c r="Q93" s="1"/>
      <c r="R93" s="1"/>
      <c r="S93" s="1"/>
      <c r="T93" s="1"/>
      <c r="U93" s="1"/>
      <c r="V93" s="1"/>
      <c r="W93" s="1"/>
      <c r="X93" s="1"/>
      <c r="Y93" s="1"/>
      <c r="Z93" s="1"/>
    </row>
    <row r="94" spans="1:26" x14ac:dyDescent="0.3">
      <c r="A94" s="14"/>
      <c r="B94" s="1"/>
      <c r="C94" s="1"/>
      <c r="D94" s="1"/>
      <c r="E94" s="1"/>
      <c r="F94" s="1"/>
      <c r="G94" s="1"/>
      <c r="H94" s="1"/>
      <c r="I94" s="1"/>
      <c r="J94" s="1"/>
      <c r="K94" s="1"/>
      <c r="L94" s="1"/>
      <c r="M94" s="1"/>
      <c r="N94" s="1"/>
      <c r="O94" s="1"/>
      <c r="P94" s="1"/>
      <c r="Q94" s="1"/>
      <c r="R94" s="1"/>
      <c r="S94" s="1"/>
      <c r="T94" s="1"/>
      <c r="U94" s="1"/>
      <c r="V94" s="1"/>
      <c r="W94" s="1"/>
      <c r="X94" s="1"/>
      <c r="Y94" s="1"/>
      <c r="Z94" s="1"/>
    </row>
    <row r="95" spans="1:26" x14ac:dyDescent="0.3">
      <c r="A95" s="14"/>
      <c r="B95" s="1"/>
      <c r="C95" s="1"/>
      <c r="D95" s="1"/>
      <c r="E95" s="1"/>
      <c r="F95" s="1"/>
      <c r="G95" s="1"/>
      <c r="H95" s="1"/>
      <c r="I95" s="1"/>
      <c r="J95" s="1"/>
      <c r="K95" s="1"/>
      <c r="L95" s="1"/>
      <c r="M95" s="1"/>
      <c r="N95" s="1"/>
      <c r="O95" s="1"/>
      <c r="P95" s="1"/>
      <c r="Q95" s="1"/>
      <c r="R95" s="1"/>
      <c r="S95" s="1"/>
      <c r="T95" s="1"/>
      <c r="U95" s="1"/>
      <c r="V95" s="1"/>
      <c r="W95" s="1"/>
      <c r="X95" s="1"/>
      <c r="Y95" s="1"/>
      <c r="Z95" s="1"/>
    </row>
    <row r="96" spans="1:26" x14ac:dyDescent="0.3">
      <c r="A96" s="14"/>
      <c r="B96" s="1"/>
      <c r="C96" s="1"/>
      <c r="D96" s="1"/>
      <c r="E96" s="1"/>
      <c r="F96" s="1"/>
      <c r="G96" s="1"/>
      <c r="H96" s="1"/>
      <c r="I96" s="1"/>
      <c r="J96" s="1"/>
      <c r="K96" s="1"/>
      <c r="L96" s="1"/>
      <c r="M96" s="1"/>
      <c r="N96" s="1"/>
      <c r="O96" s="1"/>
      <c r="P96" s="1"/>
      <c r="Q96" s="1"/>
      <c r="R96" s="1"/>
      <c r="S96" s="1"/>
      <c r="T96" s="1"/>
      <c r="U96" s="1"/>
      <c r="V96" s="1"/>
      <c r="W96" s="1"/>
      <c r="X96" s="1"/>
      <c r="Y96" s="1"/>
      <c r="Z96" s="1"/>
    </row>
    <row r="97" spans="1:26" x14ac:dyDescent="0.3">
      <c r="A97" s="14"/>
      <c r="B97" s="1"/>
      <c r="C97" s="1"/>
      <c r="D97" s="1"/>
      <c r="E97" s="1"/>
      <c r="F97" s="1"/>
      <c r="G97" s="1"/>
      <c r="H97" s="1"/>
      <c r="I97" s="1"/>
      <c r="J97" s="1"/>
      <c r="K97" s="1"/>
      <c r="L97" s="1"/>
      <c r="M97" s="1"/>
      <c r="N97" s="1"/>
      <c r="O97" s="1"/>
      <c r="P97" s="1"/>
      <c r="Q97" s="1"/>
      <c r="R97" s="1"/>
      <c r="S97" s="1"/>
      <c r="T97" s="1"/>
      <c r="U97" s="1"/>
      <c r="V97" s="1"/>
      <c r="W97" s="1"/>
      <c r="X97" s="1"/>
      <c r="Y97" s="1"/>
      <c r="Z97" s="1"/>
    </row>
    <row r="98" spans="1:26" x14ac:dyDescent="0.3">
      <c r="A98" s="14"/>
      <c r="B98" s="1"/>
      <c r="C98" s="1"/>
      <c r="D98" s="1"/>
      <c r="E98" s="1"/>
      <c r="F98" s="1"/>
      <c r="G98" s="1"/>
      <c r="H98" s="1"/>
      <c r="I98" s="1"/>
      <c r="J98" s="1"/>
      <c r="K98" s="1"/>
      <c r="L98" s="1"/>
      <c r="M98" s="1"/>
      <c r="N98" s="1"/>
      <c r="O98" s="1"/>
      <c r="P98" s="1"/>
      <c r="Q98" s="1"/>
      <c r="R98" s="1"/>
      <c r="S98" s="1"/>
      <c r="T98" s="1"/>
      <c r="U98" s="1"/>
      <c r="V98" s="1"/>
      <c r="W98" s="1"/>
      <c r="X98" s="1"/>
      <c r="Y98" s="1"/>
      <c r="Z98" s="1"/>
    </row>
    <row r="99" spans="1:26" x14ac:dyDescent="0.3">
      <c r="A99" s="14"/>
      <c r="B99" s="1"/>
      <c r="C99" s="1"/>
      <c r="D99" s="1"/>
      <c r="E99" s="1"/>
      <c r="F99" s="1"/>
      <c r="G99" s="1"/>
      <c r="H99" s="1"/>
      <c r="I99" s="1"/>
      <c r="J99" s="1"/>
      <c r="K99" s="1"/>
      <c r="L99" s="1"/>
      <c r="M99" s="1"/>
      <c r="N99" s="1"/>
      <c r="O99" s="1"/>
      <c r="P99" s="1"/>
      <c r="Q99" s="1"/>
      <c r="R99" s="1"/>
      <c r="S99" s="1"/>
      <c r="T99" s="1"/>
      <c r="U99" s="1"/>
      <c r="V99" s="1"/>
      <c r="W99" s="1"/>
      <c r="X99" s="1"/>
      <c r="Y99" s="1"/>
      <c r="Z99" s="1"/>
    </row>
    <row r="100" spans="1:26" x14ac:dyDescent="0.3">
      <c r="A100" s="14"/>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x14ac:dyDescent="0.3">
      <c r="A101" s="14"/>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x14ac:dyDescent="0.3">
      <c r="A102" s="14"/>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x14ac:dyDescent="0.3">
      <c r="A103" s="14"/>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x14ac:dyDescent="0.3">
      <c r="A104" s="14"/>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x14ac:dyDescent="0.3">
      <c r="A105" s="14"/>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x14ac:dyDescent="0.3">
      <c r="A106" s="14"/>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x14ac:dyDescent="0.3">
      <c r="A107" s="14"/>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x14ac:dyDescent="0.3">
      <c r="A108" s="14"/>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x14ac:dyDescent="0.3">
      <c r="A109" s="14"/>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x14ac:dyDescent="0.3">
      <c r="A110" s="14"/>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x14ac:dyDescent="0.3">
      <c r="A111" s="14"/>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x14ac:dyDescent="0.3">
      <c r="A112" s="14"/>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x14ac:dyDescent="0.3">
      <c r="A113" s="14"/>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x14ac:dyDescent="0.3">
      <c r="A114" s="14"/>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x14ac:dyDescent="0.3">
      <c r="A115" s="14"/>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x14ac:dyDescent="0.3">
      <c r="A116" s="14"/>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x14ac:dyDescent="0.3">
      <c r="A117" s="14"/>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x14ac:dyDescent="0.3">
      <c r="A118" s="14"/>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x14ac:dyDescent="0.3">
      <c r="A119" s="14"/>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x14ac:dyDescent="0.3">
      <c r="A120" s="14"/>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x14ac:dyDescent="0.3">
      <c r="A121" s="14"/>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x14ac:dyDescent="0.3">
      <c r="A122" s="14"/>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x14ac:dyDescent="0.3">
      <c r="A123" s="14"/>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x14ac:dyDescent="0.3">
      <c r="A124" s="14"/>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x14ac:dyDescent="0.3">
      <c r="A125" s="14"/>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x14ac:dyDescent="0.3">
      <c r="A126" s="14"/>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x14ac:dyDescent="0.3">
      <c r="A127" s="14"/>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x14ac:dyDescent="0.3">
      <c r="A128" s="14"/>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x14ac:dyDescent="0.3">
      <c r="A129" s="14"/>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x14ac:dyDescent="0.3">
      <c r="A130" s="14"/>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x14ac:dyDescent="0.3">
      <c r="A131" s="14"/>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x14ac:dyDescent="0.3">
      <c r="A132" s="14"/>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x14ac:dyDescent="0.3">
      <c r="A133" s="14"/>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x14ac:dyDescent="0.3">
      <c r="A134" s="14"/>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x14ac:dyDescent="0.3">
      <c r="A135" s="14"/>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x14ac:dyDescent="0.3">
      <c r="A136" s="14"/>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x14ac:dyDescent="0.3">
      <c r="A137" s="14"/>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x14ac:dyDescent="0.3">
      <c r="A138" s="14"/>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x14ac:dyDescent="0.3">
      <c r="A139" s="14"/>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x14ac:dyDescent="0.3">
      <c r="A140" s="14"/>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x14ac:dyDescent="0.3">
      <c r="A141" s="14"/>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x14ac:dyDescent="0.3">
      <c r="A142" s="14"/>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x14ac:dyDescent="0.3">
      <c r="A143" s="14"/>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x14ac:dyDescent="0.3">
      <c r="A144" s="14"/>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x14ac:dyDescent="0.3">
      <c r="A145" s="14"/>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x14ac:dyDescent="0.3">
      <c r="A146" s="14"/>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x14ac:dyDescent="0.3">
      <c r="A147" s="14"/>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x14ac:dyDescent="0.3">
      <c r="A148" s="14"/>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x14ac:dyDescent="0.3">
      <c r="A149" s="14"/>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x14ac:dyDescent="0.3">
      <c r="A150" s="14"/>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x14ac:dyDescent="0.3">
      <c r="A151" s="14"/>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x14ac:dyDescent="0.3">
      <c r="A152" s="14"/>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x14ac:dyDescent="0.3">
      <c r="A153" s="14"/>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x14ac:dyDescent="0.3">
      <c r="A154" s="14"/>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x14ac:dyDescent="0.3">
      <c r="A155" s="14"/>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x14ac:dyDescent="0.3">
      <c r="A156" s="14"/>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x14ac:dyDescent="0.3">
      <c r="A157" s="14"/>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x14ac:dyDescent="0.3">
      <c r="A158" s="14"/>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x14ac:dyDescent="0.3">
      <c r="A159" s="14"/>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x14ac:dyDescent="0.3">
      <c r="A160" s="14"/>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x14ac:dyDescent="0.3">
      <c r="A161" s="14"/>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x14ac:dyDescent="0.3">
      <c r="A162" s="14"/>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x14ac:dyDescent="0.3">
      <c r="A163" s="14"/>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x14ac:dyDescent="0.3">
      <c r="A164" s="14"/>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x14ac:dyDescent="0.3">
      <c r="A165" s="14"/>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x14ac:dyDescent="0.3">
      <c r="A166" s="14"/>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x14ac:dyDescent="0.3">
      <c r="A167" s="14"/>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x14ac:dyDescent="0.3">
      <c r="A168" s="14"/>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x14ac:dyDescent="0.3">
      <c r="A169" s="14"/>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x14ac:dyDescent="0.3">
      <c r="A170" s="14"/>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x14ac:dyDescent="0.3">
      <c r="A171" s="14"/>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x14ac:dyDescent="0.3">
      <c r="A172" s="14"/>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x14ac:dyDescent="0.3">
      <c r="A173" s="14"/>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x14ac:dyDescent="0.3">
      <c r="A174" s="14"/>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x14ac:dyDescent="0.3">
      <c r="A175" s="14"/>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x14ac:dyDescent="0.3">
      <c r="A176" s="14"/>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x14ac:dyDescent="0.3">
      <c r="A177" s="14"/>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x14ac:dyDescent="0.3">
      <c r="A178" s="14"/>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x14ac:dyDescent="0.3">
      <c r="A179" s="14"/>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x14ac:dyDescent="0.3">
      <c r="A180" s="14"/>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x14ac:dyDescent="0.3">
      <c r="A181" s="14"/>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x14ac:dyDescent="0.3">
      <c r="A182" s="14"/>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x14ac:dyDescent="0.3">
      <c r="A183" s="14"/>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x14ac:dyDescent="0.3">
      <c r="A184" s="14"/>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x14ac:dyDescent="0.3">
      <c r="A185" s="14"/>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x14ac:dyDescent="0.3">
      <c r="A186" s="14"/>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x14ac:dyDescent="0.3">
      <c r="A187" s="14"/>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x14ac:dyDescent="0.3">
      <c r="A188" s="14"/>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x14ac:dyDescent="0.3">
      <c r="A189" s="14"/>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x14ac:dyDescent="0.3">
      <c r="A190" s="14"/>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x14ac:dyDescent="0.3">
      <c r="A191" s="14"/>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x14ac:dyDescent="0.3">
      <c r="A192" s="14"/>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x14ac:dyDescent="0.3">
      <c r="A193" s="14"/>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x14ac:dyDescent="0.3">
      <c r="A194" s="14"/>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x14ac:dyDescent="0.3">
      <c r="A195" s="14"/>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x14ac:dyDescent="0.3">
      <c r="A196" s="14"/>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x14ac:dyDescent="0.3">
      <c r="A197" s="14"/>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x14ac:dyDescent="0.3">
      <c r="A198" s="14"/>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x14ac:dyDescent="0.3">
      <c r="A199" s="14"/>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x14ac:dyDescent="0.3">
      <c r="A200" s="14"/>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x14ac:dyDescent="0.3">
      <c r="A201" s="14"/>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x14ac:dyDescent="0.3">
      <c r="A202" s="14"/>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x14ac:dyDescent="0.3">
      <c r="A203" s="14"/>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x14ac:dyDescent="0.3">
      <c r="A204" s="14"/>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x14ac:dyDescent="0.3">
      <c r="A205" s="14"/>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x14ac:dyDescent="0.3">
      <c r="A206" s="14"/>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x14ac:dyDescent="0.3">
      <c r="A207" s="14"/>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x14ac:dyDescent="0.3">
      <c r="A208" s="14"/>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x14ac:dyDescent="0.3">
      <c r="A209" s="14"/>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x14ac:dyDescent="0.3">
      <c r="A210" s="14"/>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x14ac:dyDescent="0.3">
      <c r="A211" s="14"/>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x14ac:dyDescent="0.3">
      <c r="A212" s="14"/>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x14ac:dyDescent="0.3">
      <c r="A213" s="14"/>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x14ac:dyDescent="0.3">
      <c r="A214" s="14"/>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x14ac:dyDescent="0.3">
      <c r="A215" s="14"/>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x14ac:dyDescent="0.3">
      <c r="A216" s="14"/>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x14ac:dyDescent="0.3">
      <c r="A217" s="14"/>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x14ac:dyDescent="0.3">
      <c r="A218" s="14"/>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x14ac:dyDescent="0.3">
      <c r="A219" s="14"/>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x14ac:dyDescent="0.3">
      <c r="A220" s="14"/>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x14ac:dyDescent="0.3">
      <c r="A221" s="14"/>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x14ac:dyDescent="0.3">
      <c r="A222" s="14"/>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x14ac:dyDescent="0.3">
      <c r="A223" s="14"/>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x14ac:dyDescent="0.3">
      <c r="A224" s="14"/>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x14ac:dyDescent="0.3">
      <c r="A225" s="14"/>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x14ac:dyDescent="0.3">
      <c r="A226" s="14"/>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x14ac:dyDescent="0.3">
      <c r="A227" s="14"/>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x14ac:dyDescent="0.3">
      <c r="A228" s="14"/>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x14ac:dyDescent="0.3">
      <c r="A229" s="14"/>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x14ac:dyDescent="0.3">
      <c r="A230" s="14"/>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x14ac:dyDescent="0.3">
      <c r="A231" s="14"/>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x14ac:dyDescent="0.3">
      <c r="A232" s="14"/>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x14ac:dyDescent="0.3">
      <c r="A233" s="14"/>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x14ac:dyDescent="0.3">
      <c r="A234" s="14"/>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x14ac:dyDescent="0.3">
      <c r="A235" s="14"/>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x14ac:dyDescent="0.3">
      <c r="A236" s="14"/>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x14ac:dyDescent="0.3">
      <c r="A237" s="14"/>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x14ac:dyDescent="0.3">
      <c r="A238" s="14"/>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x14ac:dyDescent="0.3">
      <c r="A239" s="14"/>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x14ac:dyDescent="0.3">
      <c r="A240" s="14"/>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x14ac:dyDescent="0.3">
      <c r="A241" s="14"/>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x14ac:dyDescent="0.3">
      <c r="A242" s="14"/>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x14ac:dyDescent="0.3">
      <c r="A243" s="14"/>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x14ac:dyDescent="0.3">
      <c r="A244" s="14"/>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x14ac:dyDescent="0.3">
      <c r="A245" s="14"/>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x14ac:dyDescent="0.3">
      <c r="A246" s="14"/>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x14ac:dyDescent="0.3">
      <c r="A247" s="14"/>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x14ac:dyDescent="0.3">
      <c r="A248" s="14"/>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x14ac:dyDescent="0.3">
      <c r="A249" s="14"/>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x14ac:dyDescent="0.3">
      <c r="A250" s="14"/>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x14ac:dyDescent="0.3">
      <c r="A251" s="14"/>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x14ac:dyDescent="0.3">
      <c r="A252" s="14"/>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x14ac:dyDescent="0.3">
      <c r="A253" s="14"/>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x14ac:dyDescent="0.3">
      <c r="A254" s="14"/>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x14ac:dyDescent="0.3">
      <c r="A255" s="14"/>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x14ac:dyDescent="0.3">
      <c r="A256" s="14"/>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x14ac:dyDescent="0.3">
      <c r="A257" s="14"/>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x14ac:dyDescent="0.3">
      <c r="A258" s="14"/>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x14ac:dyDescent="0.3">
      <c r="A259" s="14"/>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x14ac:dyDescent="0.3">
      <c r="A260" s="14"/>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x14ac:dyDescent="0.3">
      <c r="A261" s="14"/>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x14ac:dyDescent="0.3">
      <c r="A262" s="14"/>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x14ac:dyDescent="0.3">
      <c r="A263" s="14"/>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x14ac:dyDescent="0.3">
      <c r="A264" s="14"/>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x14ac:dyDescent="0.3">
      <c r="A265" s="14"/>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x14ac:dyDescent="0.3">
      <c r="A266" s="14"/>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x14ac:dyDescent="0.3">
      <c r="A267" s="14"/>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x14ac:dyDescent="0.3">
      <c r="A268" s="14"/>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x14ac:dyDescent="0.3">
      <c r="A269" s="14"/>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x14ac:dyDescent="0.3">
      <c r="A270" s="14"/>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x14ac:dyDescent="0.3">
      <c r="A271" s="14"/>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x14ac:dyDescent="0.3">
      <c r="A272" s="14"/>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x14ac:dyDescent="0.3">
      <c r="A273" s="14"/>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x14ac:dyDescent="0.3">
      <c r="A274" s="14"/>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x14ac:dyDescent="0.3">
      <c r="A275" s="14"/>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x14ac:dyDescent="0.3">
      <c r="A276" s="14"/>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x14ac:dyDescent="0.3">
      <c r="A277" s="14"/>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x14ac:dyDescent="0.3">
      <c r="A278" s="14"/>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x14ac:dyDescent="0.3">
      <c r="A279" s="14"/>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x14ac:dyDescent="0.3">
      <c r="A280" s="14"/>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x14ac:dyDescent="0.3">
      <c r="A281" s="14"/>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x14ac:dyDescent="0.3">
      <c r="A282" s="14"/>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x14ac:dyDescent="0.3">
      <c r="A283" s="14"/>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x14ac:dyDescent="0.3">
      <c r="A284" s="14"/>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x14ac:dyDescent="0.3">
      <c r="A285" s="14"/>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x14ac:dyDescent="0.3">
      <c r="A286" s="14"/>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x14ac:dyDescent="0.3">
      <c r="A287" s="14"/>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x14ac:dyDescent="0.3">
      <c r="A288" s="14"/>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x14ac:dyDescent="0.3">
      <c r="A289" s="14"/>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x14ac:dyDescent="0.3">
      <c r="A290" s="14"/>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x14ac:dyDescent="0.3">
      <c r="A291" s="14"/>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x14ac:dyDescent="0.3">
      <c r="A292" s="14"/>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x14ac:dyDescent="0.3">
      <c r="A293" s="14"/>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x14ac:dyDescent="0.3">
      <c r="A294" s="14"/>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x14ac:dyDescent="0.3">
      <c r="A295" s="14"/>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x14ac:dyDescent="0.3">
      <c r="A296" s="14"/>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x14ac:dyDescent="0.3">
      <c r="A297" s="14"/>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x14ac:dyDescent="0.3">
      <c r="A298" s="14"/>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x14ac:dyDescent="0.3">
      <c r="A299" s="14"/>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x14ac:dyDescent="0.3">
      <c r="A300" s="14"/>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x14ac:dyDescent="0.3">
      <c r="A301" s="14"/>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x14ac:dyDescent="0.3">
      <c r="A302" s="14"/>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x14ac:dyDescent="0.3">
      <c r="A303" s="14"/>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x14ac:dyDescent="0.3">
      <c r="A304" s="14"/>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x14ac:dyDescent="0.3">
      <c r="A305" s="14"/>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x14ac:dyDescent="0.3">
      <c r="A306" s="14"/>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x14ac:dyDescent="0.3">
      <c r="A307" s="14"/>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x14ac:dyDescent="0.3">
      <c r="A308" s="14"/>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x14ac:dyDescent="0.3">
      <c r="A309" s="14"/>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x14ac:dyDescent="0.3">
      <c r="A310" s="14"/>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x14ac:dyDescent="0.3">
      <c r="A311" s="14"/>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x14ac:dyDescent="0.3">
      <c r="A312" s="14"/>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x14ac:dyDescent="0.3">
      <c r="A313" s="14"/>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x14ac:dyDescent="0.3">
      <c r="A314" s="14"/>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x14ac:dyDescent="0.3">
      <c r="A315" s="14"/>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x14ac:dyDescent="0.3">
      <c r="A316" s="14"/>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x14ac:dyDescent="0.3">
      <c r="A317" s="14"/>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x14ac:dyDescent="0.3">
      <c r="A318" s="14"/>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x14ac:dyDescent="0.3">
      <c r="A319" s="14"/>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x14ac:dyDescent="0.3">
      <c r="A320" s="14"/>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x14ac:dyDescent="0.3">
      <c r="A321" s="14"/>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x14ac:dyDescent="0.3">
      <c r="A322" s="14"/>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x14ac:dyDescent="0.3">
      <c r="A323" s="14"/>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x14ac:dyDescent="0.3">
      <c r="A324" s="14"/>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x14ac:dyDescent="0.3">
      <c r="A325" s="14"/>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x14ac:dyDescent="0.3">
      <c r="A326" s="14"/>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x14ac:dyDescent="0.3">
      <c r="A327" s="14"/>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x14ac:dyDescent="0.3">
      <c r="A328" s="14"/>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x14ac:dyDescent="0.3">
      <c r="A329" s="14"/>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x14ac:dyDescent="0.3">
      <c r="A330" s="14"/>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x14ac:dyDescent="0.3">
      <c r="A331" s="14"/>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x14ac:dyDescent="0.3">
      <c r="A332" s="14"/>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x14ac:dyDescent="0.3">
      <c r="A333" s="14"/>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x14ac:dyDescent="0.3">
      <c r="A334" s="14"/>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x14ac:dyDescent="0.3">
      <c r="A335" s="14"/>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x14ac:dyDescent="0.3">
      <c r="A336" s="14"/>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x14ac:dyDescent="0.3">
      <c r="A337" s="14"/>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x14ac:dyDescent="0.3">
      <c r="A338" s="14"/>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x14ac:dyDescent="0.3">
      <c r="A339" s="14"/>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x14ac:dyDescent="0.3">
      <c r="A340" s="14"/>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x14ac:dyDescent="0.3">
      <c r="A341" s="14"/>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x14ac:dyDescent="0.3">
      <c r="A342" s="14"/>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x14ac:dyDescent="0.3">
      <c r="A343" s="14"/>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x14ac:dyDescent="0.3">
      <c r="A344" s="14"/>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x14ac:dyDescent="0.3">
      <c r="A345" s="14"/>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x14ac:dyDescent="0.3">
      <c r="A346" s="14"/>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x14ac:dyDescent="0.3">
      <c r="A347" s="14"/>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x14ac:dyDescent="0.3">
      <c r="A348" s="14"/>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x14ac:dyDescent="0.3">
      <c r="A349" s="14"/>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x14ac:dyDescent="0.3">
      <c r="A350" s="14"/>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x14ac:dyDescent="0.3">
      <c r="A351" s="14"/>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x14ac:dyDescent="0.3">
      <c r="A352" s="14"/>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x14ac:dyDescent="0.3">
      <c r="A353" s="14"/>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x14ac:dyDescent="0.3">
      <c r="A354" s="14"/>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x14ac:dyDescent="0.3">
      <c r="A355" s="14"/>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x14ac:dyDescent="0.3">
      <c r="A356" s="14"/>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x14ac:dyDescent="0.3">
      <c r="A357" s="14"/>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x14ac:dyDescent="0.3">
      <c r="A358" s="14"/>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x14ac:dyDescent="0.3">
      <c r="A359" s="14"/>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x14ac:dyDescent="0.3">
      <c r="A360" s="14"/>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x14ac:dyDescent="0.3">
      <c r="A361" s="14"/>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x14ac:dyDescent="0.3">
      <c r="A362" s="14"/>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x14ac:dyDescent="0.3">
      <c r="A363" s="14"/>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x14ac:dyDescent="0.3">
      <c r="A364" s="14"/>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x14ac:dyDescent="0.3">
      <c r="A365" s="14"/>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x14ac:dyDescent="0.3">
      <c r="A366" s="14"/>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x14ac:dyDescent="0.3">
      <c r="A367" s="14"/>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x14ac:dyDescent="0.3">
      <c r="A368" s="14"/>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x14ac:dyDescent="0.3">
      <c r="A369" s="14"/>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x14ac:dyDescent="0.3">
      <c r="A370" s="14"/>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x14ac:dyDescent="0.3">
      <c r="A371" s="14"/>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x14ac:dyDescent="0.3">
      <c r="A372" s="14"/>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x14ac:dyDescent="0.3">
      <c r="A373" s="14"/>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x14ac:dyDescent="0.3">
      <c r="A374" s="14"/>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x14ac:dyDescent="0.3">
      <c r="A375" s="14"/>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x14ac:dyDescent="0.3">
      <c r="A376" s="14"/>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x14ac:dyDescent="0.3">
      <c r="A377" s="14"/>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x14ac:dyDescent="0.3">
      <c r="A378" s="14"/>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x14ac:dyDescent="0.3">
      <c r="A379" s="14"/>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x14ac:dyDescent="0.3">
      <c r="A380" s="14"/>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x14ac:dyDescent="0.3">
      <c r="A381" s="14"/>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x14ac:dyDescent="0.3">
      <c r="A382" s="14"/>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x14ac:dyDescent="0.3">
      <c r="A383" s="14"/>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x14ac:dyDescent="0.3">
      <c r="A384" s="14"/>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x14ac:dyDescent="0.3">
      <c r="A385" s="14"/>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x14ac:dyDescent="0.3">
      <c r="A386" s="14"/>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x14ac:dyDescent="0.3">
      <c r="A387" s="14"/>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x14ac:dyDescent="0.3">
      <c r="A388" s="14"/>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x14ac:dyDescent="0.3">
      <c r="A389" s="14"/>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x14ac:dyDescent="0.3">
      <c r="A390" s="14"/>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x14ac:dyDescent="0.3">
      <c r="A391" s="14"/>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x14ac:dyDescent="0.3">
      <c r="A392" s="14"/>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x14ac:dyDescent="0.3">
      <c r="A393" s="14"/>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x14ac:dyDescent="0.3">
      <c r="A394" s="14"/>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x14ac:dyDescent="0.3">
      <c r="A395" s="14"/>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x14ac:dyDescent="0.3">
      <c r="A396" s="14"/>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x14ac:dyDescent="0.3">
      <c r="A397" s="14"/>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x14ac:dyDescent="0.3">
      <c r="A398" s="14"/>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x14ac:dyDescent="0.3">
      <c r="A399" s="14"/>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x14ac:dyDescent="0.3">
      <c r="A400" s="14"/>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x14ac:dyDescent="0.3">
      <c r="A401" s="14"/>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x14ac:dyDescent="0.3">
      <c r="A402" s="14"/>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x14ac:dyDescent="0.3">
      <c r="A403" s="14"/>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x14ac:dyDescent="0.3">
      <c r="A404" s="14"/>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x14ac:dyDescent="0.3">
      <c r="A405" s="14"/>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x14ac:dyDescent="0.3">
      <c r="A406" s="14"/>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x14ac:dyDescent="0.3">
      <c r="A407" s="14"/>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x14ac:dyDescent="0.3">
      <c r="A408" s="14"/>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x14ac:dyDescent="0.3">
      <c r="A409" s="14"/>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x14ac:dyDescent="0.3">
      <c r="A410" s="14"/>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x14ac:dyDescent="0.3">
      <c r="A411" s="14"/>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x14ac:dyDescent="0.3">
      <c r="A412" s="14"/>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x14ac:dyDescent="0.3">
      <c r="A413" s="14"/>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x14ac:dyDescent="0.3">
      <c r="A414" s="14"/>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x14ac:dyDescent="0.3">
      <c r="A415" s="14"/>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x14ac:dyDescent="0.3">
      <c r="A416" s="14"/>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x14ac:dyDescent="0.3">
      <c r="A417" s="14"/>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x14ac:dyDescent="0.3">
      <c r="A418" s="14"/>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x14ac:dyDescent="0.3">
      <c r="A419" s="14"/>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x14ac:dyDescent="0.3">
      <c r="A420" s="14"/>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x14ac:dyDescent="0.3">
      <c r="A421" s="14"/>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x14ac:dyDescent="0.3">
      <c r="A422" s="14"/>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x14ac:dyDescent="0.3">
      <c r="A423" s="14"/>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x14ac:dyDescent="0.3">
      <c r="A424" s="14"/>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x14ac:dyDescent="0.3">
      <c r="A425" s="14"/>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x14ac:dyDescent="0.3">
      <c r="A426" s="14"/>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x14ac:dyDescent="0.3">
      <c r="A427" s="14"/>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x14ac:dyDescent="0.3">
      <c r="A428" s="14"/>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x14ac:dyDescent="0.3">
      <c r="A429" s="14"/>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x14ac:dyDescent="0.3">
      <c r="A430" s="14"/>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x14ac:dyDescent="0.3">
      <c r="A431" s="14"/>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x14ac:dyDescent="0.3">
      <c r="A432" s="14"/>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x14ac:dyDescent="0.3">
      <c r="A433" s="14"/>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x14ac:dyDescent="0.3">
      <c r="A434" s="14"/>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x14ac:dyDescent="0.3">
      <c r="A435" s="14"/>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x14ac:dyDescent="0.3">
      <c r="A436" s="14"/>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x14ac:dyDescent="0.3">
      <c r="A437" s="14"/>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x14ac:dyDescent="0.3">
      <c r="A438" s="14"/>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x14ac:dyDescent="0.3">
      <c r="A439" s="14"/>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x14ac:dyDescent="0.3">
      <c r="A440" s="14"/>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x14ac:dyDescent="0.3">
      <c r="A441" s="14"/>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x14ac:dyDescent="0.3">
      <c r="A442" s="14"/>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x14ac:dyDescent="0.3">
      <c r="A443" s="14"/>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x14ac:dyDescent="0.3">
      <c r="A444" s="14"/>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x14ac:dyDescent="0.3">
      <c r="A445" s="14"/>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x14ac:dyDescent="0.3">
      <c r="A446" s="14"/>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x14ac:dyDescent="0.3">
      <c r="A447" s="14"/>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x14ac:dyDescent="0.3">
      <c r="A448" s="14"/>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x14ac:dyDescent="0.3">
      <c r="A449" s="14"/>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x14ac:dyDescent="0.3">
      <c r="A450" s="14"/>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x14ac:dyDescent="0.3">
      <c r="A451" s="14"/>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x14ac:dyDescent="0.3">
      <c r="A452" s="14"/>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x14ac:dyDescent="0.3">
      <c r="A453" s="14"/>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x14ac:dyDescent="0.3">
      <c r="A454" s="14"/>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x14ac:dyDescent="0.3">
      <c r="A455" s="14"/>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x14ac:dyDescent="0.3">
      <c r="A456" s="14"/>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x14ac:dyDescent="0.3">
      <c r="A457" s="14"/>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x14ac:dyDescent="0.3">
      <c r="A458" s="14"/>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x14ac:dyDescent="0.3">
      <c r="A459" s="14"/>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x14ac:dyDescent="0.3">
      <c r="A460" s="14"/>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x14ac:dyDescent="0.3">
      <c r="A461" s="14"/>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x14ac:dyDescent="0.3">
      <c r="A462" s="14"/>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x14ac:dyDescent="0.3">
      <c r="A463" s="14"/>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x14ac:dyDescent="0.3">
      <c r="A464" s="14"/>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x14ac:dyDescent="0.3">
      <c r="A465" s="14"/>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x14ac:dyDescent="0.3">
      <c r="A466" s="14"/>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x14ac:dyDescent="0.3">
      <c r="A467" s="14"/>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x14ac:dyDescent="0.3">
      <c r="A468" s="14"/>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x14ac:dyDescent="0.3">
      <c r="A469" s="14"/>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x14ac:dyDescent="0.3">
      <c r="A470" s="14"/>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x14ac:dyDescent="0.3">
      <c r="A471" s="14"/>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x14ac:dyDescent="0.3">
      <c r="A472" s="14"/>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x14ac:dyDescent="0.3">
      <c r="A473" s="14"/>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x14ac:dyDescent="0.3">
      <c r="A474" s="14"/>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x14ac:dyDescent="0.3">
      <c r="A475" s="14"/>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x14ac:dyDescent="0.3">
      <c r="A476" s="14"/>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x14ac:dyDescent="0.3">
      <c r="A477" s="14"/>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x14ac:dyDescent="0.3">
      <c r="A478" s="14"/>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x14ac:dyDescent="0.3">
      <c r="A479" s="14"/>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x14ac:dyDescent="0.3">
      <c r="A480" s="14"/>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x14ac:dyDescent="0.3">
      <c r="A481" s="14"/>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x14ac:dyDescent="0.3">
      <c r="A482" s="14"/>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x14ac:dyDescent="0.3">
      <c r="A483" s="14"/>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x14ac:dyDescent="0.3">
      <c r="A484" s="14"/>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x14ac:dyDescent="0.3">
      <c r="A485" s="14"/>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x14ac:dyDescent="0.3">
      <c r="A486" s="14"/>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x14ac:dyDescent="0.3">
      <c r="A487" s="14"/>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x14ac:dyDescent="0.3">
      <c r="A488" s="14"/>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x14ac:dyDescent="0.3">
      <c r="A489" s="14"/>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x14ac:dyDescent="0.3">
      <c r="A490" s="14"/>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x14ac:dyDescent="0.3">
      <c r="A491" s="14"/>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x14ac:dyDescent="0.3">
      <c r="A492" s="14"/>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x14ac:dyDescent="0.3">
      <c r="A493" s="14"/>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x14ac:dyDescent="0.3">
      <c r="A494" s="14"/>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x14ac:dyDescent="0.3">
      <c r="A495" s="14"/>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x14ac:dyDescent="0.3">
      <c r="A496" s="14"/>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x14ac:dyDescent="0.3">
      <c r="A497" s="14"/>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x14ac:dyDescent="0.3">
      <c r="A498" s="14"/>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x14ac:dyDescent="0.3">
      <c r="A499" s="14"/>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x14ac:dyDescent="0.3">
      <c r="A500" s="14"/>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x14ac:dyDescent="0.3">
      <c r="A501" s="14"/>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x14ac:dyDescent="0.3">
      <c r="A502" s="14"/>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x14ac:dyDescent="0.3">
      <c r="A503" s="14"/>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x14ac:dyDescent="0.3">
      <c r="A504" s="14"/>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x14ac:dyDescent="0.3">
      <c r="A505" s="14"/>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x14ac:dyDescent="0.3">
      <c r="A506" s="14"/>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x14ac:dyDescent="0.3">
      <c r="A507" s="14"/>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x14ac:dyDescent="0.3">
      <c r="A508" s="14"/>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x14ac:dyDescent="0.3">
      <c r="A509" s="14"/>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x14ac:dyDescent="0.3">
      <c r="A510" s="14"/>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x14ac:dyDescent="0.3">
      <c r="A511" s="14"/>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x14ac:dyDescent="0.3">
      <c r="A512" s="14"/>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x14ac:dyDescent="0.3">
      <c r="A513" s="14"/>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x14ac:dyDescent="0.3">
      <c r="A514" s="14"/>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x14ac:dyDescent="0.3">
      <c r="A515" s="14"/>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x14ac:dyDescent="0.3">
      <c r="A516" s="14"/>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x14ac:dyDescent="0.3">
      <c r="A517" s="14"/>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x14ac:dyDescent="0.3">
      <c r="A518" s="14"/>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x14ac:dyDescent="0.3">
      <c r="A519" s="14"/>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x14ac:dyDescent="0.3">
      <c r="A520" s="14"/>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x14ac:dyDescent="0.3">
      <c r="A521" s="14"/>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x14ac:dyDescent="0.3">
      <c r="A522" s="14"/>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x14ac:dyDescent="0.3">
      <c r="A523" s="14"/>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x14ac:dyDescent="0.3">
      <c r="A524" s="14"/>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x14ac:dyDescent="0.3">
      <c r="A525" s="14"/>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x14ac:dyDescent="0.3">
      <c r="A526" s="14"/>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x14ac:dyDescent="0.3">
      <c r="A527" s="14"/>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x14ac:dyDescent="0.3">
      <c r="A528" s="14"/>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x14ac:dyDescent="0.3">
      <c r="A529" s="14"/>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x14ac:dyDescent="0.3">
      <c r="A530" s="14"/>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x14ac:dyDescent="0.3">
      <c r="A531" s="14"/>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x14ac:dyDescent="0.3">
      <c r="A532" s="14"/>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x14ac:dyDescent="0.3">
      <c r="A533" s="14"/>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x14ac:dyDescent="0.3">
      <c r="A534" s="14"/>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x14ac:dyDescent="0.3">
      <c r="A535" s="14"/>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x14ac:dyDescent="0.3">
      <c r="A536" s="14"/>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x14ac:dyDescent="0.3">
      <c r="A537" s="14"/>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x14ac:dyDescent="0.3">
      <c r="A538" s="14"/>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x14ac:dyDescent="0.3">
      <c r="A539" s="14"/>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x14ac:dyDescent="0.3">
      <c r="A540" s="14"/>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x14ac:dyDescent="0.3">
      <c r="A541" s="14"/>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x14ac:dyDescent="0.3">
      <c r="A542" s="14"/>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x14ac:dyDescent="0.3">
      <c r="A543" s="14"/>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x14ac:dyDescent="0.3">
      <c r="A544" s="14"/>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x14ac:dyDescent="0.3">
      <c r="A545" s="14"/>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x14ac:dyDescent="0.3">
      <c r="A546" s="14"/>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x14ac:dyDescent="0.3">
      <c r="A547" s="14"/>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x14ac:dyDescent="0.3">
      <c r="A548" s="14"/>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x14ac:dyDescent="0.3">
      <c r="A549" s="14"/>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x14ac:dyDescent="0.3">
      <c r="A550" s="14"/>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x14ac:dyDescent="0.3">
      <c r="A551" s="14"/>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x14ac:dyDescent="0.3">
      <c r="A552" s="14"/>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x14ac:dyDescent="0.3">
      <c r="A553" s="14"/>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x14ac:dyDescent="0.3">
      <c r="A554" s="14"/>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x14ac:dyDescent="0.3">
      <c r="A555" s="14"/>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x14ac:dyDescent="0.3">
      <c r="A556" s="14"/>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x14ac:dyDescent="0.3">
      <c r="A557" s="14"/>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x14ac:dyDescent="0.3">
      <c r="A558" s="14"/>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x14ac:dyDescent="0.3">
      <c r="A559" s="14"/>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x14ac:dyDescent="0.3">
      <c r="A560" s="14"/>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x14ac:dyDescent="0.3">
      <c r="A561" s="14"/>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x14ac:dyDescent="0.3">
      <c r="A562" s="14"/>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x14ac:dyDescent="0.3">
      <c r="A563" s="14"/>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x14ac:dyDescent="0.3">
      <c r="A564" s="14"/>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x14ac:dyDescent="0.3">
      <c r="A565" s="14"/>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x14ac:dyDescent="0.3">
      <c r="A566" s="14"/>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x14ac:dyDescent="0.3">
      <c r="A567" s="14"/>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x14ac:dyDescent="0.3">
      <c r="A568" s="14"/>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x14ac:dyDescent="0.3">
      <c r="A569" s="14"/>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x14ac:dyDescent="0.3">
      <c r="A570" s="14"/>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x14ac:dyDescent="0.3">
      <c r="A571" s="14"/>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x14ac:dyDescent="0.3">
      <c r="A572" s="14"/>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x14ac:dyDescent="0.3">
      <c r="A573" s="14"/>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x14ac:dyDescent="0.3">
      <c r="A574" s="14"/>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x14ac:dyDescent="0.3">
      <c r="A575" s="14"/>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x14ac:dyDescent="0.3">
      <c r="A576" s="14"/>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x14ac:dyDescent="0.3">
      <c r="A577" s="14"/>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x14ac:dyDescent="0.3">
      <c r="A578" s="14"/>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x14ac:dyDescent="0.3">
      <c r="A579" s="14"/>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x14ac:dyDescent="0.3">
      <c r="A580" s="14"/>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x14ac:dyDescent="0.3">
      <c r="A581" s="14"/>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x14ac:dyDescent="0.3">
      <c r="A582" s="14"/>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x14ac:dyDescent="0.3">
      <c r="A583" s="14"/>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x14ac:dyDescent="0.3">
      <c r="A584" s="14"/>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x14ac:dyDescent="0.3">
      <c r="A585" s="14"/>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x14ac:dyDescent="0.3">
      <c r="A586" s="14"/>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x14ac:dyDescent="0.3">
      <c r="A587" s="14"/>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x14ac:dyDescent="0.3">
      <c r="A588" s="14"/>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x14ac:dyDescent="0.3">
      <c r="A589" s="14"/>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x14ac:dyDescent="0.3">
      <c r="A590" s="14"/>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x14ac:dyDescent="0.3">
      <c r="A591" s="14"/>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x14ac:dyDescent="0.3">
      <c r="A592" s="14"/>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x14ac:dyDescent="0.3">
      <c r="A593" s="14"/>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x14ac:dyDescent="0.3">
      <c r="A594" s="14"/>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x14ac:dyDescent="0.3">
      <c r="A595" s="14"/>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x14ac:dyDescent="0.3">
      <c r="A596" s="14"/>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x14ac:dyDescent="0.3">
      <c r="A597" s="14"/>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x14ac:dyDescent="0.3">
      <c r="A598" s="14"/>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x14ac:dyDescent="0.3">
      <c r="A599" s="14"/>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x14ac:dyDescent="0.3">
      <c r="A600" s="14"/>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x14ac:dyDescent="0.3">
      <c r="A601" s="14"/>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x14ac:dyDescent="0.3">
      <c r="A602" s="14"/>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x14ac:dyDescent="0.3">
      <c r="A603" s="14"/>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x14ac:dyDescent="0.3">
      <c r="A604" s="14"/>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x14ac:dyDescent="0.3">
      <c r="A605" s="14"/>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x14ac:dyDescent="0.3">
      <c r="A606" s="14"/>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x14ac:dyDescent="0.3">
      <c r="A607" s="14"/>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x14ac:dyDescent="0.3">
      <c r="A608" s="14"/>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x14ac:dyDescent="0.3">
      <c r="A609" s="14"/>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x14ac:dyDescent="0.3">
      <c r="A610" s="14"/>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x14ac:dyDescent="0.3">
      <c r="A611" s="14"/>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x14ac:dyDescent="0.3">
      <c r="A612" s="14"/>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x14ac:dyDescent="0.3">
      <c r="A613" s="14"/>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x14ac:dyDescent="0.3">
      <c r="A614" s="14"/>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x14ac:dyDescent="0.3">
      <c r="A615" s="14"/>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x14ac:dyDescent="0.3">
      <c r="A616" s="14"/>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x14ac:dyDescent="0.3">
      <c r="A617" s="14"/>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x14ac:dyDescent="0.3">
      <c r="A618" s="14"/>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x14ac:dyDescent="0.3">
      <c r="A619" s="14"/>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x14ac:dyDescent="0.3">
      <c r="A620" s="14"/>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x14ac:dyDescent="0.3">
      <c r="A621" s="14"/>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x14ac:dyDescent="0.3">
      <c r="A622" s="14"/>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x14ac:dyDescent="0.3">
      <c r="A623" s="14"/>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x14ac:dyDescent="0.3">
      <c r="A624" s="14"/>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x14ac:dyDescent="0.3">
      <c r="A625" s="14"/>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x14ac:dyDescent="0.3">
      <c r="A626" s="14"/>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x14ac:dyDescent="0.3">
      <c r="A627" s="14"/>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x14ac:dyDescent="0.3">
      <c r="A628" s="14"/>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x14ac:dyDescent="0.3">
      <c r="A629" s="14"/>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x14ac:dyDescent="0.3">
      <c r="A630" s="14"/>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x14ac:dyDescent="0.3">
      <c r="A631" s="14"/>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x14ac:dyDescent="0.3">
      <c r="A632" s="14"/>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x14ac:dyDescent="0.3">
      <c r="A633" s="14"/>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x14ac:dyDescent="0.3">
      <c r="A634" s="14"/>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x14ac:dyDescent="0.3">
      <c r="A635" s="14"/>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x14ac:dyDescent="0.3">
      <c r="A636" s="14"/>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x14ac:dyDescent="0.3">
      <c r="A637" s="14"/>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x14ac:dyDescent="0.3">
      <c r="A638" s="14"/>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x14ac:dyDescent="0.3">
      <c r="A639" s="14"/>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x14ac:dyDescent="0.3">
      <c r="A640" s="14"/>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x14ac:dyDescent="0.3">
      <c r="A641" s="14"/>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x14ac:dyDescent="0.3">
      <c r="A642" s="14"/>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x14ac:dyDescent="0.3">
      <c r="A643" s="14"/>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x14ac:dyDescent="0.3">
      <c r="A644" s="14"/>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x14ac:dyDescent="0.3">
      <c r="A645" s="14"/>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x14ac:dyDescent="0.3">
      <c r="A646" s="14"/>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x14ac:dyDescent="0.3">
      <c r="A647" s="14"/>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x14ac:dyDescent="0.3">
      <c r="A648" s="14"/>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x14ac:dyDescent="0.3">
      <c r="A649" s="14"/>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x14ac:dyDescent="0.3">
      <c r="A650" s="14"/>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x14ac:dyDescent="0.3">
      <c r="A651" s="14"/>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x14ac:dyDescent="0.3">
      <c r="A652" s="14"/>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x14ac:dyDescent="0.3">
      <c r="A653" s="14"/>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x14ac:dyDescent="0.3">
      <c r="A654" s="14"/>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x14ac:dyDescent="0.3">
      <c r="A655" s="14"/>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x14ac:dyDescent="0.3">
      <c r="A656" s="14"/>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x14ac:dyDescent="0.3">
      <c r="A657" s="14"/>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x14ac:dyDescent="0.3">
      <c r="A658" s="14"/>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x14ac:dyDescent="0.3">
      <c r="A659" s="14"/>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x14ac:dyDescent="0.3">
      <c r="A660" s="14"/>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x14ac:dyDescent="0.3">
      <c r="A661" s="14"/>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x14ac:dyDescent="0.3">
      <c r="A662" s="14"/>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x14ac:dyDescent="0.3">
      <c r="A663" s="14"/>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x14ac:dyDescent="0.3">
      <c r="A664" s="14"/>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x14ac:dyDescent="0.3">
      <c r="A665" s="14"/>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x14ac:dyDescent="0.3">
      <c r="A666" s="14"/>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x14ac:dyDescent="0.3">
      <c r="A667" s="14"/>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x14ac:dyDescent="0.3">
      <c r="A668" s="14"/>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x14ac:dyDescent="0.3">
      <c r="A669" s="14"/>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x14ac:dyDescent="0.3">
      <c r="A670" s="14"/>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x14ac:dyDescent="0.3">
      <c r="A671" s="14"/>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x14ac:dyDescent="0.3">
      <c r="A672" s="14"/>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x14ac:dyDescent="0.3">
      <c r="A673" s="14"/>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x14ac:dyDescent="0.3">
      <c r="A674" s="14"/>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x14ac:dyDescent="0.3">
      <c r="A675" s="14"/>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x14ac:dyDescent="0.3">
      <c r="A676" s="14"/>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x14ac:dyDescent="0.3">
      <c r="A677" s="14"/>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x14ac:dyDescent="0.3">
      <c r="A678" s="14"/>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x14ac:dyDescent="0.3">
      <c r="A679" s="14"/>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x14ac:dyDescent="0.3">
      <c r="A680" s="14"/>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x14ac:dyDescent="0.3">
      <c r="A681" s="14"/>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x14ac:dyDescent="0.3">
      <c r="A682" s="14"/>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x14ac:dyDescent="0.3">
      <c r="A683" s="14"/>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x14ac:dyDescent="0.3">
      <c r="A684" s="14"/>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x14ac:dyDescent="0.3">
      <c r="A685" s="14"/>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x14ac:dyDescent="0.3">
      <c r="A686" s="14"/>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x14ac:dyDescent="0.3">
      <c r="A687" s="14"/>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x14ac:dyDescent="0.3">
      <c r="A688" s="14"/>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x14ac:dyDescent="0.3">
      <c r="A689" s="14"/>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x14ac:dyDescent="0.3">
      <c r="A690" s="14"/>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x14ac:dyDescent="0.3">
      <c r="A691" s="14"/>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x14ac:dyDescent="0.3">
      <c r="A692" s="14"/>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x14ac:dyDescent="0.3">
      <c r="A693" s="14"/>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x14ac:dyDescent="0.3">
      <c r="A694" s="14"/>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x14ac:dyDescent="0.3">
      <c r="A695" s="14"/>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x14ac:dyDescent="0.3">
      <c r="A696" s="14"/>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x14ac:dyDescent="0.3">
      <c r="A697" s="14"/>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x14ac:dyDescent="0.3">
      <c r="A698" s="14"/>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x14ac:dyDescent="0.3">
      <c r="A699" s="14"/>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x14ac:dyDescent="0.3">
      <c r="A700" s="14"/>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x14ac:dyDescent="0.3">
      <c r="A701" s="14"/>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x14ac:dyDescent="0.3">
      <c r="A702" s="14"/>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x14ac:dyDescent="0.3">
      <c r="A703" s="14"/>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x14ac:dyDescent="0.3">
      <c r="A704" s="14"/>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x14ac:dyDescent="0.3">
      <c r="A705" s="14"/>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x14ac:dyDescent="0.3">
      <c r="A706" s="14"/>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x14ac:dyDescent="0.3">
      <c r="A707" s="14"/>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x14ac:dyDescent="0.3">
      <c r="A708" s="14"/>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x14ac:dyDescent="0.3">
      <c r="A709" s="14"/>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x14ac:dyDescent="0.3">
      <c r="A710" s="14"/>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x14ac:dyDescent="0.3">
      <c r="A711" s="14"/>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x14ac:dyDescent="0.3">
      <c r="A712" s="14"/>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x14ac:dyDescent="0.3">
      <c r="A713" s="14"/>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x14ac:dyDescent="0.3">
      <c r="A714" s="14"/>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x14ac:dyDescent="0.3">
      <c r="A715" s="14"/>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x14ac:dyDescent="0.3">
      <c r="A716" s="14"/>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x14ac:dyDescent="0.3">
      <c r="A717" s="14"/>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x14ac:dyDescent="0.3">
      <c r="A718" s="14"/>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x14ac:dyDescent="0.3">
      <c r="A719" s="14"/>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x14ac:dyDescent="0.3">
      <c r="A720" s="14"/>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x14ac:dyDescent="0.3">
      <c r="A721" s="14"/>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x14ac:dyDescent="0.3">
      <c r="A722" s="14"/>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x14ac:dyDescent="0.3">
      <c r="A723" s="14"/>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x14ac:dyDescent="0.3">
      <c r="A724" s="14"/>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x14ac:dyDescent="0.3">
      <c r="A725" s="14"/>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x14ac:dyDescent="0.3">
      <c r="A726" s="14"/>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x14ac:dyDescent="0.3">
      <c r="A727" s="14"/>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x14ac:dyDescent="0.3">
      <c r="A728" s="14"/>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x14ac:dyDescent="0.3">
      <c r="A729" s="14"/>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x14ac:dyDescent="0.3">
      <c r="A730" s="14"/>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x14ac:dyDescent="0.3">
      <c r="A731" s="14"/>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x14ac:dyDescent="0.3">
      <c r="A732" s="14"/>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x14ac:dyDescent="0.3">
      <c r="A733" s="14"/>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x14ac:dyDescent="0.3">
      <c r="A734" s="14"/>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x14ac:dyDescent="0.3">
      <c r="A735" s="14"/>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x14ac:dyDescent="0.3">
      <c r="A736" s="14"/>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x14ac:dyDescent="0.3">
      <c r="A737" s="14"/>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x14ac:dyDescent="0.3">
      <c r="A738" s="14"/>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x14ac:dyDescent="0.3">
      <c r="A739" s="14"/>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x14ac:dyDescent="0.3">
      <c r="A740" s="14"/>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x14ac:dyDescent="0.3">
      <c r="A741" s="14"/>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x14ac:dyDescent="0.3">
      <c r="A742" s="14"/>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x14ac:dyDescent="0.3">
      <c r="A743" s="14"/>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x14ac:dyDescent="0.3">
      <c r="A744" s="14"/>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x14ac:dyDescent="0.3">
      <c r="A745" s="14"/>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x14ac:dyDescent="0.3">
      <c r="A746" s="14"/>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x14ac:dyDescent="0.3">
      <c r="A747" s="14"/>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x14ac:dyDescent="0.3">
      <c r="A748" s="14"/>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x14ac:dyDescent="0.3">
      <c r="A749" s="14"/>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x14ac:dyDescent="0.3">
      <c r="A750" s="14"/>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x14ac:dyDescent="0.3">
      <c r="A751" s="14"/>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x14ac:dyDescent="0.3">
      <c r="A752" s="14"/>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x14ac:dyDescent="0.3">
      <c r="A753" s="14"/>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x14ac:dyDescent="0.3">
      <c r="A754" s="14"/>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x14ac:dyDescent="0.3">
      <c r="A755" s="14"/>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x14ac:dyDescent="0.3">
      <c r="A756" s="14"/>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x14ac:dyDescent="0.3">
      <c r="A757" s="14"/>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x14ac:dyDescent="0.3">
      <c r="A758" s="14"/>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x14ac:dyDescent="0.3">
      <c r="A759" s="14"/>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x14ac:dyDescent="0.3">
      <c r="A760" s="14"/>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x14ac:dyDescent="0.3">
      <c r="A761" s="14"/>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x14ac:dyDescent="0.3">
      <c r="A762" s="14"/>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x14ac:dyDescent="0.3">
      <c r="A763" s="14"/>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x14ac:dyDescent="0.3">
      <c r="A764" s="14"/>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x14ac:dyDescent="0.3">
      <c r="A765" s="14"/>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x14ac:dyDescent="0.3">
      <c r="A766" s="14"/>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x14ac:dyDescent="0.3">
      <c r="A767" s="14"/>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x14ac:dyDescent="0.3">
      <c r="A768" s="14"/>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x14ac:dyDescent="0.3">
      <c r="A769" s="14"/>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x14ac:dyDescent="0.3">
      <c r="A770" s="14"/>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x14ac:dyDescent="0.3">
      <c r="A771" s="14"/>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x14ac:dyDescent="0.3">
      <c r="A772" s="14"/>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x14ac:dyDescent="0.3">
      <c r="A773" s="14"/>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x14ac:dyDescent="0.3">
      <c r="A774" s="14"/>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x14ac:dyDescent="0.3">
      <c r="A775" s="14"/>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x14ac:dyDescent="0.3">
      <c r="A776" s="14"/>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x14ac:dyDescent="0.3">
      <c r="A777" s="14"/>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x14ac:dyDescent="0.3">
      <c r="A778" s="14"/>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x14ac:dyDescent="0.3">
      <c r="A779" s="14"/>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x14ac:dyDescent="0.3">
      <c r="A780" s="14"/>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x14ac:dyDescent="0.3">
      <c r="A781" s="14"/>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x14ac:dyDescent="0.3">
      <c r="A782" s="14"/>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x14ac:dyDescent="0.3">
      <c r="A783" s="14"/>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x14ac:dyDescent="0.3">
      <c r="A784" s="14"/>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x14ac:dyDescent="0.3">
      <c r="A785" s="14"/>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x14ac:dyDescent="0.3">
      <c r="A786" s="14"/>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x14ac:dyDescent="0.3">
      <c r="A787" s="14"/>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x14ac:dyDescent="0.3">
      <c r="A788" s="14"/>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x14ac:dyDescent="0.3">
      <c r="A789" s="14"/>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x14ac:dyDescent="0.3">
      <c r="A790" s="14"/>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x14ac:dyDescent="0.3">
      <c r="A791" s="14"/>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x14ac:dyDescent="0.3">
      <c r="A792" s="14"/>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x14ac:dyDescent="0.3">
      <c r="A793" s="14"/>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x14ac:dyDescent="0.3">
      <c r="A794" s="14"/>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x14ac:dyDescent="0.3">
      <c r="A795" s="14"/>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x14ac:dyDescent="0.3">
      <c r="A796" s="14"/>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x14ac:dyDescent="0.3">
      <c r="A797" s="14"/>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x14ac:dyDescent="0.3">
      <c r="A798" s="14"/>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x14ac:dyDescent="0.3">
      <c r="A799" s="14"/>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x14ac:dyDescent="0.3">
      <c r="A800" s="14"/>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x14ac:dyDescent="0.3">
      <c r="A801" s="14"/>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x14ac:dyDescent="0.3">
      <c r="A802" s="14"/>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x14ac:dyDescent="0.3">
      <c r="A803" s="14"/>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x14ac:dyDescent="0.3">
      <c r="A804" s="14"/>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x14ac:dyDescent="0.3">
      <c r="A805" s="14"/>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x14ac:dyDescent="0.3">
      <c r="A806" s="14"/>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x14ac:dyDescent="0.3">
      <c r="A807" s="14"/>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x14ac:dyDescent="0.3">
      <c r="A808" s="14"/>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x14ac:dyDescent="0.3">
      <c r="A809" s="14"/>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x14ac:dyDescent="0.3">
      <c r="A810" s="14"/>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x14ac:dyDescent="0.3">
      <c r="A811" s="14"/>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x14ac:dyDescent="0.3">
      <c r="A812" s="14"/>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x14ac:dyDescent="0.3">
      <c r="A813" s="14"/>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x14ac:dyDescent="0.3">
      <c r="A814" s="14"/>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x14ac:dyDescent="0.3">
      <c r="A815" s="14"/>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x14ac:dyDescent="0.3">
      <c r="A816" s="14"/>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x14ac:dyDescent="0.3">
      <c r="A817" s="14"/>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x14ac:dyDescent="0.3">
      <c r="A818" s="14"/>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x14ac:dyDescent="0.3">
      <c r="A819" s="14"/>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x14ac:dyDescent="0.3">
      <c r="A820" s="14"/>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x14ac:dyDescent="0.3">
      <c r="A821" s="14"/>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x14ac:dyDescent="0.3">
      <c r="A822" s="14"/>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x14ac:dyDescent="0.3">
      <c r="A823" s="14"/>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x14ac:dyDescent="0.3">
      <c r="A824" s="14"/>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x14ac:dyDescent="0.3">
      <c r="A825" s="14"/>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x14ac:dyDescent="0.3">
      <c r="A826" s="14"/>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x14ac:dyDescent="0.3">
      <c r="A827" s="14"/>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x14ac:dyDescent="0.3">
      <c r="A828" s="14"/>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x14ac:dyDescent="0.3">
      <c r="A829" s="14"/>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x14ac:dyDescent="0.3">
      <c r="A830" s="14"/>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x14ac:dyDescent="0.3">
      <c r="A831" s="14"/>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x14ac:dyDescent="0.3">
      <c r="A832" s="14"/>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x14ac:dyDescent="0.3">
      <c r="A833" s="14"/>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x14ac:dyDescent="0.3">
      <c r="A834" s="14"/>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x14ac:dyDescent="0.3">
      <c r="A835" s="14"/>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x14ac:dyDescent="0.3">
      <c r="A836" s="14"/>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x14ac:dyDescent="0.3">
      <c r="A837" s="14"/>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x14ac:dyDescent="0.3">
      <c r="A838" s="14"/>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x14ac:dyDescent="0.3">
      <c r="A839" s="14"/>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x14ac:dyDescent="0.3">
      <c r="A840" s="14"/>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x14ac:dyDescent="0.3">
      <c r="A841" s="14"/>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x14ac:dyDescent="0.3">
      <c r="A842" s="14"/>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x14ac:dyDescent="0.3">
      <c r="A843" s="14"/>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x14ac:dyDescent="0.3">
      <c r="A844" s="14"/>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x14ac:dyDescent="0.3">
      <c r="A845" s="14"/>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x14ac:dyDescent="0.3">
      <c r="A846" s="14"/>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x14ac:dyDescent="0.3">
      <c r="A847" s="14"/>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x14ac:dyDescent="0.3">
      <c r="A848" s="14"/>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x14ac:dyDescent="0.3">
      <c r="A849" s="14"/>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x14ac:dyDescent="0.3">
      <c r="A850" s="14"/>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x14ac:dyDescent="0.3">
      <c r="A851" s="14"/>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x14ac:dyDescent="0.3">
      <c r="A852" s="14"/>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x14ac:dyDescent="0.3">
      <c r="A853" s="14"/>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x14ac:dyDescent="0.3">
      <c r="A854" s="14"/>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x14ac:dyDescent="0.3">
      <c r="A855" s="14"/>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x14ac:dyDescent="0.3">
      <c r="A856" s="14"/>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x14ac:dyDescent="0.3">
      <c r="A857" s="14"/>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x14ac:dyDescent="0.3">
      <c r="A858" s="14"/>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x14ac:dyDescent="0.3">
      <c r="A859" s="14"/>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x14ac:dyDescent="0.3">
      <c r="A860" s="14"/>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x14ac:dyDescent="0.3">
      <c r="A861" s="14"/>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x14ac:dyDescent="0.3">
      <c r="A862" s="14"/>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x14ac:dyDescent="0.3">
      <c r="A863" s="14"/>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x14ac:dyDescent="0.3">
      <c r="A864" s="14"/>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x14ac:dyDescent="0.3">
      <c r="A865" s="14"/>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x14ac:dyDescent="0.3">
      <c r="A866" s="14"/>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x14ac:dyDescent="0.3">
      <c r="A867" s="14"/>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x14ac:dyDescent="0.3">
      <c r="A868" s="14"/>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x14ac:dyDescent="0.3">
      <c r="A869" s="14"/>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x14ac:dyDescent="0.3">
      <c r="A870" s="14"/>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x14ac:dyDescent="0.3">
      <c r="A871" s="14"/>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x14ac:dyDescent="0.3">
      <c r="A872" s="14"/>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x14ac:dyDescent="0.3">
      <c r="A873" s="14"/>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x14ac:dyDescent="0.3">
      <c r="A874" s="14"/>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x14ac:dyDescent="0.3">
      <c r="A875" s="14"/>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x14ac:dyDescent="0.3">
      <c r="A876" s="14"/>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x14ac:dyDescent="0.3">
      <c r="A877" s="14"/>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x14ac:dyDescent="0.3">
      <c r="A878" s="14"/>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x14ac:dyDescent="0.3">
      <c r="A879" s="14"/>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x14ac:dyDescent="0.3">
      <c r="A880" s="14"/>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x14ac:dyDescent="0.3">
      <c r="A881" s="14"/>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x14ac:dyDescent="0.3">
      <c r="A882" s="14"/>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x14ac:dyDescent="0.3">
      <c r="A883" s="14"/>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x14ac:dyDescent="0.3">
      <c r="A884" s="14"/>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x14ac:dyDescent="0.3">
      <c r="A885" s="14"/>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x14ac:dyDescent="0.3">
      <c r="A886" s="14"/>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x14ac:dyDescent="0.3">
      <c r="A887" s="14"/>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x14ac:dyDescent="0.3">
      <c r="A888" s="14"/>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x14ac:dyDescent="0.3">
      <c r="A889" s="14"/>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x14ac:dyDescent="0.3">
      <c r="A890" s="14"/>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x14ac:dyDescent="0.3">
      <c r="A891" s="14"/>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x14ac:dyDescent="0.3">
      <c r="A892" s="14"/>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x14ac:dyDescent="0.3">
      <c r="A893" s="14"/>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x14ac:dyDescent="0.3">
      <c r="A894" s="14"/>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x14ac:dyDescent="0.3">
      <c r="A895" s="14"/>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x14ac:dyDescent="0.3">
      <c r="A896" s="14"/>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x14ac:dyDescent="0.3">
      <c r="A897" s="14"/>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x14ac:dyDescent="0.3">
      <c r="A898" s="14"/>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x14ac:dyDescent="0.3">
      <c r="A899" s="14"/>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x14ac:dyDescent="0.3">
      <c r="A900" s="14"/>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x14ac:dyDescent="0.3">
      <c r="A901" s="14"/>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x14ac:dyDescent="0.3">
      <c r="A902" s="14"/>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x14ac:dyDescent="0.3">
      <c r="A903" s="14"/>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x14ac:dyDescent="0.3">
      <c r="A904" s="14"/>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x14ac:dyDescent="0.3">
      <c r="A905" s="14"/>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x14ac:dyDescent="0.3">
      <c r="A906" s="14"/>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x14ac:dyDescent="0.3">
      <c r="A907" s="14"/>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x14ac:dyDescent="0.3">
      <c r="A908" s="14"/>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x14ac:dyDescent="0.3">
      <c r="A909" s="14"/>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x14ac:dyDescent="0.3">
      <c r="A910" s="14"/>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x14ac:dyDescent="0.3">
      <c r="A911" s="14"/>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x14ac:dyDescent="0.3">
      <c r="A912" s="14"/>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x14ac:dyDescent="0.3">
      <c r="A913" s="14"/>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x14ac:dyDescent="0.3">
      <c r="A914" s="14"/>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x14ac:dyDescent="0.3">
      <c r="A915" s="14"/>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x14ac:dyDescent="0.3">
      <c r="A916" s="14"/>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x14ac:dyDescent="0.3">
      <c r="A917" s="14"/>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x14ac:dyDescent="0.3">
      <c r="A918" s="14"/>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x14ac:dyDescent="0.3">
      <c r="A919" s="14"/>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x14ac:dyDescent="0.3">
      <c r="A920" s="14"/>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x14ac:dyDescent="0.3">
      <c r="A921" s="14"/>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x14ac:dyDescent="0.3">
      <c r="A922" s="14"/>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x14ac:dyDescent="0.3">
      <c r="A923" s="14"/>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x14ac:dyDescent="0.3">
      <c r="A924" s="14"/>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x14ac:dyDescent="0.3">
      <c r="A925" s="14"/>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x14ac:dyDescent="0.3">
      <c r="A926" s="14"/>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x14ac:dyDescent="0.3">
      <c r="A927" s="14"/>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x14ac:dyDescent="0.3">
      <c r="A928" s="14"/>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x14ac:dyDescent="0.3">
      <c r="A929" s="14"/>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x14ac:dyDescent="0.3">
      <c r="A930" s="14"/>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x14ac:dyDescent="0.3">
      <c r="A931" s="14"/>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x14ac:dyDescent="0.3">
      <c r="A932" s="14"/>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x14ac:dyDescent="0.3">
      <c r="A933" s="14"/>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x14ac:dyDescent="0.3">
      <c r="A934" s="14"/>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x14ac:dyDescent="0.3">
      <c r="A935" s="14"/>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x14ac:dyDescent="0.3">
      <c r="A936" s="14"/>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x14ac:dyDescent="0.3">
      <c r="A937" s="14"/>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x14ac:dyDescent="0.3">
      <c r="A938" s="14"/>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x14ac:dyDescent="0.3">
      <c r="A939" s="14"/>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x14ac:dyDescent="0.3">
      <c r="A940" s="14"/>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x14ac:dyDescent="0.3">
      <c r="A941" s="14"/>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x14ac:dyDescent="0.3">
      <c r="A942" s="14"/>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x14ac:dyDescent="0.3">
      <c r="A943" s="14"/>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x14ac:dyDescent="0.3">
      <c r="A944" s="14"/>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x14ac:dyDescent="0.3">
      <c r="A945" s="14"/>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x14ac:dyDescent="0.3">
      <c r="A946" s="14"/>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x14ac:dyDescent="0.3">
      <c r="A947" s="14"/>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x14ac:dyDescent="0.3">
      <c r="A948" s="14"/>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x14ac:dyDescent="0.3">
      <c r="A949" s="14"/>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x14ac:dyDescent="0.3">
      <c r="A950" s="14"/>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x14ac:dyDescent="0.3">
      <c r="A951" s="14"/>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x14ac:dyDescent="0.3">
      <c r="A952" s="14"/>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x14ac:dyDescent="0.3">
      <c r="A953" s="14"/>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x14ac:dyDescent="0.3">
      <c r="A954" s="14"/>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x14ac:dyDescent="0.3">
      <c r="A955" s="14"/>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x14ac:dyDescent="0.3">
      <c r="A956" s="14"/>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x14ac:dyDescent="0.3">
      <c r="A957" s="14"/>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x14ac:dyDescent="0.3">
      <c r="A958" s="14"/>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x14ac:dyDescent="0.3">
      <c r="A959" s="14"/>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x14ac:dyDescent="0.3">
      <c r="A960" s="14"/>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x14ac:dyDescent="0.3">
      <c r="A961" s="14"/>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x14ac:dyDescent="0.3">
      <c r="A962" s="14"/>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x14ac:dyDescent="0.3">
      <c r="A963" s="14"/>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x14ac:dyDescent="0.3">
      <c r="A964" s="14"/>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x14ac:dyDescent="0.3">
      <c r="A965" s="14"/>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x14ac:dyDescent="0.3">
      <c r="A966" s="14"/>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x14ac:dyDescent="0.3">
      <c r="A967" s="14"/>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x14ac:dyDescent="0.3">
      <c r="A968" s="14"/>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x14ac:dyDescent="0.3">
      <c r="A969" s="14"/>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x14ac:dyDescent="0.3">
      <c r="A970" s="14"/>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x14ac:dyDescent="0.3">
      <c r="A971" s="14"/>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x14ac:dyDescent="0.3">
      <c r="A972" s="14"/>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x14ac:dyDescent="0.3">
      <c r="A973" s="14"/>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x14ac:dyDescent="0.3">
      <c r="A974" s="14"/>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x14ac:dyDescent="0.3">
      <c r="A975" s="14"/>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x14ac:dyDescent="0.3">
      <c r="A976" s="14"/>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x14ac:dyDescent="0.3">
      <c r="A977" s="14"/>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M11" sqref="M11"/>
    </sheetView>
  </sheetViews>
  <sheetFormatPr defaultColWidth="14.44140625" defaultRowHeight="15" customHeight="1" x14ac:dyDescent="0.3"/>
  <cols>
    <col min="1" max="1" width="10.33203125" customWidth="1"/>
    <col min="2" max="2" width="10.44140625" customWidth="1"/>
    <col min="3" max="3" width="5.88671875" customWidth="1"/>
    <col min="4" max="4" width="9.6640625" customWidth="1"/>
    <col min="5" max="5" width="11.109375" customWidth="1"/>
    <col min="6" max="6" width="18.88671875" customWidth="1"/>
    <col min="7" max="7" width="8.6640625" customWidth="1"/>
    <col min="8" max="8" width="10.33203125" customWidth="1"/>
    <col min="9" max="9" width="8.44140625" customWidth="1"/>
    <col min="10" max="10" width="11.21875" customWidth="1"/>
    <col min="11" max="11" width="20.21875" customWidth="1"/>
    <col min="13" max="13" width="18.33203125" customWidth="1"/>
    <col min="14" max="26" width="8.6640625" customWidth="1"/>
  </cols>
  <sheetData>
    <row r="1" spans="1:26" ht="39.6" customHeight="1" x14ac:dyDescent="0.3">
      <c r="A1" s="35" t="s">
        <v>38</v>
      </c>
      <c r="B1" s="36" t="s">
        <v>39</v>
      </c>
      <c r="C1" s="36" t="s">
        <v>40</v>
      </c>
      <c r="D1" s="36" t="s">
        <v>41</v>
      </c>
      <c r="E1" s="36" t="s">
        <v>42</v>
      </c>
      <c r="F1" s="37" t="s">
        <v>43</v>
      </c>
      <c r="G1" s="4"/>
      <c r="H1" s="26" t="s">
        <v>127</v>
      </c>
      <c r="I1" s="27" t="s">
        <v>128</v>
      </c>
      <c r="J1" s="27" t="s">
        <v>129</v>
      </c>
      <c r="K1" s="28" t="s">
        <v>131</v>
      </c>
      <c r="N1" s="2"/>
      <c r="S1" s="2"/>
      <c r="T1" s="2"/>
      <c r="U1" s="2"/>
      <c r="V1" s="2"/>
      <c r="W1" s="2"/>
      <c r="X1" s="2"/>
      <c r="Y1" s="2"/>
      <c r="Z1" s="2"/>
    </row>
    <row r="2" spans="1:26" ht="14.4" x14ac:dyDescent="0.3">
      <c r="A2" s="38">
        <v>1001</v>
      </c>
      <c r="B2" s="22" t="s">
        <v>44</v>
      </c>
      <c r="C2" s="22">
        <v>61</v>
      </c>
      <c r="D2" s="22">
        <v>48</v>
      </c>
      <c r="E2" s="22">
        <v>76</v>
      </c>
      <c r="F2" s="39">
        <v>43101</v>
      </c>
      <c r="G2" s="2"/>
      <c r="H2" s="29">
        <f>SUM(C2:E2)</f>
        <v>185</v>
      </c>
      <c r="I2" s="24" t="str">
        <f>IF(J2&gt;=0.9,"A",IF(J2&gt;=0.75,"B",IF(J2&gt;=0.6,"C",IF(J2&gt;=0.4,"D","F"))))</f>
        <v>C</v>
      </c>
      <c r="J2" s="25">
        <f>(H2/300)</f>
        <v>0.6166666666666667</v>
      </c>
      <c r="K2" s="30" t="str">
        <f t="shared" ref="K2:K21" si="0">IF(AND(C2&gt;=80, D2&gt;=80),"YES","NO")</f>
        <v>NO</v>
      </c>
      <c r="S2" s="2"/>
      <c r="T2" s="2"/>
      <c r="U2" s="2"/>
      <c r="V2" s="2"/>
      <c r="W2" s="2"/>
      <c r="X2" s="2"/>
      <c r="Y2" s="2"/>
      <c r="Z2" s="2"/>
    </row>
    <row r="3" spans="1:26" ht="14.4" x14ac:dyDescent="0.3">
      <c r="A3" s="38">
        <v>1002</v>
      </c>
      <c r="B3" s="22" t="s">
        <v>45</v>
      </c>
      <c r="C3" s="22">
        <v>78</v>
      </c>
      <c r="D3" s="22">
        <v>76</v>
      </c>
      <c r="E3" s="22">
        <v>70</v>
      </c>
      <c r="F3" s="39">
        <v>43281</v>
      </c>
      <c r="G3" s="2"/>
      <c r="H3" s="29">
        <f t="shared" ref="H3:H21" si="1">SUM(C3:E3)</f>
        <v>224</v>
      </c>
      <c r="I3" s="24" t="str">
        <f t="shared" ref="I3:I21" si="2">IF(J3&gt;=0.9,"A",IF(J3&gt;=0.75,"B",IF(J3&gt;=0.6,"C",IF(J3&gt;=0.4,"D","F"))))</f>
        <v>C</v>
      </c>
      <c r="J3" s="25">
        <f t="shared" ref="J3:J21" si="3">(H3/300)</f>
        <v>0.7466666666666667</v>
      </c>
      <c r="K3" s="30" t="str">
        <f t="shared" si="0"/>
        <v>NO</v>
      </c>
      <c r="S3" s="2"/>
      <c r="T3" s="2"/>
      <c r="U3" s="2"/>
      <c r="V3" s="2"/>
      <c r="W3" s="2"/>
      <c r="X3" s="2"/>
      <c r="Y3" s="2"/>
      <c r="Z3" s="2"/>
    </row>
    <row r="4" spans="1:26" ht="14.4" x14ac:dyDescent="0.3">
      <c r="A4" s="38">
        <v>1003</v>
      </c>
      <c r="B4" s="22" t="s">
        <v>46</v>
      </c>
      <c r="C4" s="22">
        <v>97</v>
      </c>
      <c r="D4" s="22">
        <v>60</v>
      </c>
      <c r="E4" s="22">
        <v>51</v>
      </c>
      <c r="F4" s="39">
        <v>43461</v>
      </c>
      <c r="G4" s="2"/>
      <c r="H4" s="29">
        <f t="shared" si="1"/>
        <v>208</v>
      </c>
      <c r="I4" s="24" t="str">
        <f t="shared" si="2"/>
        <v>C</v>
      </c>
      <c r="J4" s="25">
        <f t="shared" si="3"/>
        <v>0.69333333333333336</v>
      </c>
      <c r="K4" s="30" t="str">
        <f t="shared" si="0"/>
        <v>NO</v>
      </c>
      <c r="N4" s="2"/>
      <c r="O4" s="2"/>
      <c r="P4" s="2"/>
      <c r="Q4" s="2"/>
      <c r="R4" s="2"/>
      <c r="S4" s="2"/>
      <c r="T4" s="2"/>
      <c r="U4" s="2"/>
      <c r="V4" s="2"/>
      <c r="W4" s="2"/>
      <c r="X4" s="2"/>
      <c r="Y4" s="2"/>
      <c r="Z4" s="2"/>
    </row>
    <row r="5" spans="1:26" ht="14.4" x14ac:dyDescent="0.3">
      <c r="A5" s="38">
        <v>1004</v>
      </c>
      <c r="B5" s="22" t="s">
        <v>47</v>
      </c>
      <c r="C5" s="22">
        <v>74</v>
      </c>
      <c r="D5" s="22">
        <v>55</v>
      </c>
      <c r="E5" s="22">
        <v>46</v>
      </c>
      <c r="F5" s="39">
        <v>43641</v>
      </c>
      <c r="G5" s="2"/>
      <c r="H5" s="29">
        <f t="shared" si="1"/>
        <v>175</v>
      </c>
      <c r="I5" s="24" t="str">
        <f t="shared" si="2"/>
        <v>D</v>
      </c>
      <c r="J5" s="25">
        <f t="shared" si="3"/>
        <v>0.58333333333333337</v>
      </c>
      <c r="K5" s="30" t="str">
        <f t="shared" si="0"/>
        <v>NO</v>
      </c>
      <c r="N5" s="2"/>
      <c r="O5" s="2"/>
      <c r="P5" s="2"/>
      <c r="Q5" s="2"/>
      <c r="R5" s="2"/>
      <c r="S5" s="2"/>
      <c r="T5" s="2"/>
      <c r="U5" s="2"/>
      <c r="V5" s="2"/>
      <c r="W5" s="2"/>
      <c r="X5" s="2"/>
      <c r="Y5" s="2"/>
      <c r="Z5" s="2"/>
    </row>
    <row r="6" spans="1:26" ht="14.4" x14ac:dyDescent="0.3">
      <c r="A6" s="38">
        <v>1005</v>
      </c>
      <c r="B6" s="22" t="s">
        <v>48</v>
      </c>
      <c r="C6" s="22">
        <v>68</v>
      </c>
      <c r="D6" s="22">
        <v>74</v>
      </c>
      <c r="E6" s="22">
        <v>84</v>
      </c>
      <c r="F6" s="39">
        <v>43821</v>
      </c>
      <c r="G6" s="2"/>
      <c r="H6" s="29">
        <f t="shared" si="1"/>
        <v>226</v>
      </c>
      <c r="I6" s="24" t="str">
        <f t="shared" si="2"/>
        <v>B</v>
      </c>
      <c r="J6" s="25">
        <f t="shared" si="3"/>
        <v>0.7533333333333333</v>
      </c>
      <c r="K6" s="30" t="str">
        <f t="shared" si="0"/>
        <v>NO</v>
      </c>
      <c r="N6" s="2"/>
      <c r="O6" s="2"/>
      <c r="P6" s="2"/>
      <c r="Q6" s="2"/>
      <c r="R6" s="2"/>
      <c r="S6" s="2"/>
      <c r="T6" s="2"/>
      <c r="U6" s="2"/>
      <c r="V6" s="2"/>
      <c r="W6" s="2"/>
      <c r="X6" s="2"/>
      <c r="Y6" s="2"/>
      <c r="Z6" s="2"/>
    </row>
    <row r="7" spans="1:26" ht="21" customHeight="1" x14ac:dyDescent="0.3">
      <c r="A7" s="38">
        <v>1006</v>
      </c>
      <c r="B7" s="22" t="s">
        <v>49</v>
      </c>
      <c r="C7" s="22">
        <v>80</v>
      </c>
      <c r="D7" s="22">
        <v>70</v>
      </c>
      <c r="E7" s="22">
        <v>65</v>
      </c>
      <c r="F7" s="39">
        <v>44001</v>
      </c>
      <c r="G7" s="2"/>
      <c r="H7" s="29">
        <f t="shared" si="1"/>
        <v>215</v>
      </c>
      <c r="I7" s="24" t="str">
        <f t="shared" si="2"/>
        <v>C</v>
      </c>
      <c r="J7" s="25">
        <f t="shared" si="3"/>
        <v>0.71666666666666667</v>
      </c>
      <c r="K7" s="30" t="str">
        <f t="shared" si="0"/>
        <v>NO</v>
      </c>
      <c r="N7" s="2"/>
      <c r="O7" s="2"/>
      <c r="P7" s="2"/>
      <c r="Q7" s="2"/>
      <c r="R7" s="2"/>
      <c r="S7" s="2"/>
      <c r="T7" s="2"/>
      <c r="U7" s="2"/>
      <c r="V7" s="2"/>
      <c r="W7" s="2"/>
      <c r="X7" s="2"/>
      <c r="Y7" s="2"/>
      <c r="Z7" s="2"/>
    </row>
    <row r="8" spans="1:26" ht="14.4" x14ac:dyDescent="0.3">
      <c r="A8" s="38">
        <v>1007</v>
      </c>
      <c r="B8" s="22" t="s">
        <v>50</v>
      </c>
      <c r="C8" s="22">
        <v>75</v>
      </c>
      <c r="D8" s="22">
        <v>47</v>
      </c>
      <c r="E8" s="22">
        <v>78</v>
      </c>
      <c r="F8" s="39">
        <v>44181</v>
      </c>
      <c r="G8" s="2"/>
      <c r="H8" s="29">
        <f t="shared" si="1"/>
        <v>200</v>
      </c>
      <c r="I8" s="24" t="str">
        <f t="shared" si="2"/>
        <v>C</v>
      </c>
      <c r="J8" s="25">
        <f t="shared" si="3"/>
        <v>0.66666666666666663</v>
      </c>
      <c r="K8" s="30" t="str">
        <f t="shared" si="0"/>
        <v>NO</v>
      </c>
      <c r="N8" s="2"/>
      <c r="O8" s="2"/>
      <c r="P8" s="2"/>
      <c r="Q8" s="2"/>
      <c r="R8" s="2"/>
      <c r="S8" s="2"/>
      <c r="T8" s="2"/>
      <c r="U8" s="2"/>
      <c r="V8" s="2"/>
      <c r="W8" s="2"/>
      <c r="X8" s="2"/>
      <c r="Y8" s="2"/>
      <c r="Z8" s="2"/>
    </row>
    <row r="9" spans="1:26" ht="14.4" x14ac:dyDescent="0.3">
      <c r="A9" s="38">
        <v>1008</v>
      </c>
      <c r="B9" s="22" t="s">
        <v>51</v>
      </c>
      <c r="C9" s="22">
        <v>94</v>
      </c>
      <c r="D9" s="22">
        <v>67</v>
      </c>
      <c r="E9" s="22">
        <v>64</v>
      </c>
      <c r="F9" s="39">
        <v>44361</v>
      </c>
      <c r="G9" s="2"/>
      <c r="H9" s="29">
        <f t="shared" si="1"/>
        <v>225</v>
      </c>
      <c r="I9" s="24" t="str">
        <f t="shared" si="2"/>
        <v>B</v>
      </c>
      <c r="J9" s="25">
        <f t="shared" si="3"/>
        <v>0.75</v>
      </c>
      <c r="K9" s="30" t="str">
        <f t="shared" si="0"/>
        <v>NO</v>
      </c>
      <c r="M9" s="2"/>
      <c r="N9" s="2"/>
      <c r="O9" s="2"/>
      <c r="P9" s="2"/>
      <c r="Q9" s="2"/>
      <c r="R9" s="2"/>
      <c r="S9" s="2"/>
      <c r="T9" s="2"/>
      <c r="U9" s="2"/>
      <c r="V9" s="2"/>
      <c r="W9" s="2"/>
      <c r="X9" s="2"/>
      <c r="Y9" s="2"/>
      <c r="Z9" s="2"/>
    </row>
    <row r="10" spans="1:26" ht="14.4" x14ac:dyDescent="0.3">
      <c r="A10" s="38">
        <v>1009</v>
      </c>
      <c r="B10" s="22" t="s">
        <v>52</v>
      </c>
      <c r="C10" s="22">
        <v>41</v>
      </c>
      <c r="D10" s="22">
        <v>75</v>
      </c>
      <c r="E10" s="22">
        <v>56</v>
      </c>
      <c r="F10" s="39">
        <v>44541</v>
      </c>
      <c r="G10" s="2"/>
      <c r="H10" s="29">
        <f t="shared" si="1"/>
        <v>172</v>
      </c>
      <c r="I10" s="24" t="str">
        <f t="shared" si="2"/>
        <v>D</v>
      </c>
      <c r="J10" s="25">
        <f t="shared" si="3"/>
        <v>0.57333333333333336</v>
      </c>
      <c r="K10" s="30" t="str">
        <f t="shared" si="0"/>
        <v>NO</v>
      </c>
      <c r="M10" s="2"/>
      <c r="N10" s="2"/>
      <c r="O10" s="2"/>
      <c r="P10" s="2"/>
      <c r="Q10" s="2"/>
      <c r="R10" s="2"/>
      <c r="S10" s="2"/>
      <c r="T10" s="2"/>
      <c r="U10" s="2"/>
      <c r="V10" s="2"/>
      <c r="W10" s="2"/>
      <c r="X10" s="2"/>
      <c r="Y10" s="2"/>
      <c r="Z10" s="2"/>
    </row>
    <row r="11" spans="1:26" ht="14.4" x14ac:dyDescent="0.3">
      <c r="A11" s="38">
        <v>1010</v>
      </c>
      <c r="B11" s="22" t="s">
        <v>53</v>
      </c>
      <c r="C11" s="22">
        <v>98</v>
      </c>
      <c r="D11" s="22">
        <v>54</v>
      </c>
      <c r="E11" s="22">
        <v>58</v>
      </c>
      <c r="F11" s="39">
        <v>44721</v>
      </c>
      <c r="G11" s="2"/>
      <c r="H11" s="29">
        <f t="shared" si="1"/>
        <v>210</v>
      </c>
      <c r="I11" s="24" t="str">
        <f t="shared" si="2"/>
        <v>C</v>
      </c>
      <c r="J11" s="25">
        <f t="shared" si="3"/>
        <v>0.7</v>
      </c>
      <c r="K11" s="30" t="str">
        <f t="shared" si="0"/>
        <v>NO</v>
      </c>
      <c r="M11" s="2"/>
      <c r="N11" s="2"/>
      <c r="O11" s="2"/>
      <c r="P11" s="2"/>
      <c r="Q11" s="2"/>
      <c r="R11" s="2"/>
      <c r="S11" s="2"/>
      <c r="T11" s="2"/>
      <c r="U11" s="2"/>
      <c r="V11" s="2"/>
      <c r="W11" s="2"/>
      <c r="X11" s="2"/>
      <c r="Y11" s="2"/>
      <c r="Z11" s="2"/>
    </row>
    <row r="12" spans="1:26" ht="14.4" x14ac:dyDescent="0.3">
      <c r="A12" s="38">
        <v>1011</v>
      </c>
      <c r="B12" s="22" t="s">
        <v>54</v>
      </c>
      <c r="C12" s="22">
        <v>73</v>
      </c>
      <c r="D12" s="22">
        <v>79</v>
      </c>
      <c r="E12" s="22">
        <v>53</v>
      </c>
      <c r="F12" s="39">
        <v>44901</v>
      </c>
      <c r="G12" s="2"/>
      <c r="H12" s="29">
        <f t="shared" si="1"/>
        <v>205</v>
      </c>
      <c r="I12" s="24" t="str">
        <f t="shared" si="2"/>
        <v>C</v>
      </c>
      <c r="J12" s="25">
        <f t="shared" si="3"/>
        <v>0.68333333333333335</v>
      </c>
      <c r="K12" s="30" t="str">
        <f t="shared" si="0"/>
        <v>NO</v>
      </c>
      <c r="M12" s="2"/>
      <c r="N12" s="2"/>
      <c r="O12" s="2"/>
      <c r="P12" s="2"/>
      <c r="Q12" s="2"/>
      <c r="R12" s="2"/>
      <c r="S12" s="2"/>
      <c r="T12" s="2"/>
      <c r="U12" s="2"/>
      <c r="V12" s="2"/>
      <c r="W12" s="2"/>
      <c r="X12" s="2"/>
      <c r="Y12" s="2"/>
      <c r="Z12" s="2"/>
    </row>
    <row r="13" spans="1:26" ht="14.4" x14ac:dyDescent="0.3">
      <c r="A13" s="38">
        <v>1012</v>
      </c>
      <c r="B13" s="22" t="s">
        <v>55</v>
      </c>
      <c r="C13" s="22">
        <v>85</v>
      </c>
      <c r="D13" s="22">
        <v>89</v>
      </c>
      <c r="E13" s="22">
        <v>79</v>
      </c>
      <c r="F13" s="39">
        <v>45081</v>
      </c>
      <c r="G13" s="2"/>
      <c r="H13" s="29">
        <f t="shared" si="1"/>
        <v>253</v>
      </c>
      <c r="I13" s="24" t="str">
        <f t="shared" si="2"/>
        <v>B</v>
      </c>
      <c r="J13" s="25">
        <f t="shared" si="3"/>
        <v>0.84333333333333338</v>
      </c>
      <c r="K13" s="30" t="str">
        <f t="shared" si="0"/>
        <v>YES</v>
      </c>
      <c r="M13" s="2"/>
      <c r="N13" s="2"/>
      <c r="O13" s="2"/>
      <c r="P13" s="2"/>
      <c r="Q13" s="2"/>
      <c r="R13" s="2"/>
      <c r="S13" s="2"/>
      <c r="T13" s="2"/>
      <c r="U13" s="2"/>
      <c r="V13" s="2"/>
      <c r="W13" s="2"/>
      <c r="X13" s="2"/>
      <c r="Y13" s="2"/>
      <c r="Z13" s="2"/>
    </row>
    <row r="14" spans="1:26" ht="14.4" x14ac:dyDescent="0.3">
      <c r="A14" s="38">
        <v>1013</v>
      </c>
      <c r="B14" s="22" t="s">
        <v>56</v>
      </c>
      <c r="C14" s="22">
        <v>98</v>
      </c>
      <c r="D14" s="22">
        <v>90</v>
      </c>
      <c r="E14" s="22">
        <v>97</v>
      </c>
      <c r="F14" s="39">
        <v>45261</v>
      </c>
      <c r="G14" s="2"/>
      <c r="H14" s="29">
        <f t="shared" si="1"/>
        <v>285</v>
      </c>
      <c r="I14" s="24" t="str">
        <f t="shared" si="2"/>
        <v>A</v>
      </c>
      <c r="J14" s="25">
        <f t="shared" si="3"/>
        <v>0.95</v>
      </c>
      <c r="K14" s="30" t="str">
        <f t="shared" si="0"/>
        <v>YES</v>
      </c>
      <c r="M14" s="2"/>
      <c r="N14" s="2"/>
      <c r="O14" s="2"/>
      <c r="P14" s="2"/>
      <c r="Q14" s="2"/>
      <c r="R14" s="2"/>
      <c r="S14" s="2"/>
      <c r="T14" s="2"/>
      <c r="U14" s="2"/>
      <c r="V14" s="2"/>
      <c r="W14" s="2"/>
      <c r="X14" s="2"/>
      <c r="Y14" s="2"/>
      <c r="Z14" s="2"/>
    </row>
    <row r="15" spans="1:26" ht="14.4" x14ac:dyDescent="0.3">
      <c r="A15" s="38">
        <v>1014</v>
      </c>
      <c r="B15" s="22" t="s">
        <v>57</v>
      </c>
      <c r="C15" s="22">
        <v>93</v>
      </c>
      <c r="D15" s="22">
        <v>40</v>
      </c>
      <c r="E15" s="22">
        <v>44</v>
      </c>
      <c r="F15" s="39">
        <v>45441</v>
      </c>
      <c r="G15" s="2"/>
      <c r="H15" s="29">
        <f t="shared" si="1"/>
        <v>177</v>
      </c>
      <c r="I15" s="24" t="str">
        <f t="shared" si="2"/>
        <v>D</v>
      </c>
      <c r="J15" s="25">
        <f t="shared" si="3"/>
        <v>0.59</v>
      </c>
      <c r="K15" s="30" t="str">
        <f t="shared" si="0"/>
        <v>NO</v>
      </c>
      <c r="M15" s="2"/>
      <c r="N15" s="2"/>
      <c r="O15" s="2"/>
      <c r="P15" s="2"/>
      <c r="Q15" s="2"/>
      <c r="R15" s="2"/>
      <c r="S15" s="2"/>
      <c r="T15" s="2"/>
      <c r="U15" s="2"/>
      <c r="V15" s="2"/>
      <c r="W15" s="2"/>
      <c r="X15" s="2"/>
      <c r="Y15" s="2"/>
      <c r="Z15" s="2"/>
    </row>
    <row r="16" spans="1:26" ht="14.4" x14ac:dyDescent="0.3">
      <c r="A16" s="38">
        <v>1015</v>
      </c>
      <c r="B16" s="22" t="s">
        <v>58</v>
      </c>
      <c r="C16" s="22">
        <v>70</v>
      </c>
      <c r="D16" s="22">
        <v>51</v>
      </c>
      <c r="E16" s="22">
        <v>75</v>
      </c>
      <c r="F16" s="39">
        <v>45621</v>
      </c>
      <c r="G16" s="2"/>
      <c r="H16" s="29">
        <f t="shared" si="1"/>
        <v>196</v>
      </c>
      <c r="I16" s="24" t="str">
        <f t="shared" si="2"/>
        <v>C</v>
      </c>
      <c r="J16" s="25">
        <f t="shared" si="3"/>
        <v>0.65333333333333332</v>
      </c>
      <c r="K16" s="30" t="str">
        <f t="shared" si="0"/>
        <v>NO</v>
      </c>
      <c r="M16" s="2"/>
      <c r="N16" s="2"/>
      <c r="O16" s="2"/>
      <c r="P16" s="2"/>
      <c r="Q16" s="2"/>
      <c r="R16" s="2"/>
      <c r="S16" s="2"/>
      <c r="T16" s="2"/>
      <c r="U16" s="2"/>
      <c r="V16" s="2"/>
      <c r="W16" s="2"/>
      <c r="X16" s="2"/>
      <c r="Y16" s="2"/>
      <c r="Z16" s="2"/>
    </row>
    <row r="17" spans="1:26" ht="14.4" x14ac:dyDescent="0.3">
      <c r="A17" s="38">
        <v>1016</v>
      </c>
      <c r="B17" s="22" t="s">
        <v>59</v>
      </c>
      <c r="C17" s="22">
        <v>98</v>
      </c>
      <c r="D17" s="22">
        <v>77</v>
      </c>
      <c r="E17" s="22">
        <v>60</v>
      </c>
      <c r="F17" s="39">
        <v>45801</v>
      </c>
      <c r="G17" s="2"/>
      <c r="H17" s="29">
        <f t="shared" si="1"/>
        <v>235</v>
      </c>
      <c r="I17" s="24" t="str">
        <f t="shared" si="2"/>
        <v>B</v>
      </c>
      <c r="J17" s="25">
        <f t="shared" si="3"/>
        <v>0.78333333333333333</v>
      </c>
      <c r="K17" s="30" t="str">
        <f t="shared" si="0"/>
        <v>NO</v>
      </c>
      <c r="M17" s="2"/>
      <c r="N17" s="2"/>
      <c r="O17" s="2"/>
      <c r="P17" s="2"/>
      <c r="Q17" s="2"/>
      <c r="R17" s="2"/>
      <c r="S17" s="2"/>
      <c r="T17" s="2"/>
      <c r="U17" s="2"/>
      <c r="V17" s="2"/>
      <c r="W17" s="2"/>
      <c r="X17" s="2"/>
      <c r="Y17" s="2"/>
      <c r="Z17" s="2"/>
    </row>
    <row r="18" spans="1:26" ht="14.4" x14ac:dyDescent="0.3">
      <c r="A18" s="38">
        <v>1017</v>
      </c>
      <c r="B18" s="22" t="s">
        <v>60</v>
      </c>
      <c r="C18" s="22">
        <v>66</v>
      </c>
      <c r="D18" s="22">
        <v>59</v>
      </c>
      <c r="E18" s="22">
        <v>40</v>
      </c>
      <c r="F18" s="39">
        <v>45981</v>
      </c>
      <c r="G18" s="2"/>
      <c r="H18" s="29">
        <f t="shared" si="1"/>
        <v>165</v>
      </c>
      <c r="I18" s="24" t="str">
        <f t="shared" si="2"/>
        <v>D</v>
      </c>
      <c r="J18" s="25">
        <f t="shared" si="3"/>
        <v>0.55000000000000004</v>
      </c>
      <c r="K18" s="30" t="str">
        <f t="shared" si="0"/>
        <v>NO</v>
      </c>
      <c r="M18" s="2"/>
      <c r="N18" s="2"/>
      <c r="O18" s="2"/>
      <c r="P18" s="2"/>
      <c r="Q18" s="2"/>
      <c r="R18" s="2"/>
      <c r="S18" s="2"/>
      <c r="T18" s="2"/>
      <c r="U18" s="2"/>
      <c r="V18" s="2"/>
      <c r="W18" s="2"/>
      <c r="X18" s="2"/>
      <c r="Y18" s="2"/>
      <c r="Z18" s="2"/>
    </row>
    <row r="19" spans="1:26" ht="14.4" x14ac:dyDescent="0.3">
      <c r="A19" s="38">
        <v>1018</v>
      </c>
      <c r="B19" s="22" t="s">
        <v>61</v>
      </c>
      <c r="C19" s="22">
        <v>82</v>
      </c>
      <c r="D19" s="22">
        <v>48</v>
      </c>
      <c r="E19" s="22">
        <v>79</v>
      </c>
      <c r="F19" s="39">
        <v>46161</v>
      </c>
      <c r="G19" s="2"/>
      <c r="H19" s="29">
        <f t="shared" si="1"/>
        <v>209</v>
      </c>
      <c r="I19" s="24" t="str">
        <f t="shared" si="2"/>
        <v>C</v>
      </c>
      <c r="J19" s="25">
        <f t="shared" si="3"/>
        <v>0.69666666666666666</v>
      </c>
      <c r="K19" s="30" t="str">
        <f t="shared" si="0"/>
        <v>NO</v>
      </c>
      <c r="M19" s="2"/>
      <c r="N19" s="2"/>
      <c r="O19" s="2"/>
      <c r="P19" s="2"/>
      <c r="Q19" s="2"/>
      <c r="R19" s="2"/>
      <c r="S19" s="2"/>
      <c r="T19" s="2"/>
      <c r="U19" s="2"/>
      <c r="V19" s="2"/>
      <c r="W19" s="2"/>
      <c r="X19" s="2"/>
      <c r="Y19" s="2"/>
      <c r="Z19" s="2"/>
    </row>
    <row r="20" spans="1:26" ht="14.4" x14ac:dyDescent="0.3">
      <c r="A20" s="38">
        <v>1019</v>
      </c>
      <c r="B20" s="22" t="s">
        <v>62</v>
      </c>
      <c r="C20" s="22">
        <v>90</v>
      </c>
      <c r="D20" s="22">
        <v>78</v>
      </c>
      <c r="E20" s="22">
        <v>60</v>
      </c>
      <c r="F20" s="39">
        <v>46341</v>
      </c>
      <c r="G20" s="2"/>
      <c r="H20" s="29">
        <f t="shared" si="1"/>
        <v>228</v>
      </c>
      <c r="I20" s="24" t="str">
        <f t="shared" si="2"/>
        <v>B</v>
      </c>
      <c r="J20" s="25">
        <f t="shared" si="3"/>
        <v>0.76</v>
      </c>
      <c r="K20" s="30" t="str">
        <f t="shared" si="0"/>
        <v>NO</v>
      </c>
      <c r="M20" s="2"/>
      <c r="N20" s="2"/>
      <c r="O20" s="2"/>
      <c r="P20" s="2"/>
      <c r="Q20" s="2"/>
      <c r="R20" s="2"/>
      <c r="S20" s="2"/>
      <c r="T20" s="2"/>
      <c r="U20" s="2"/>
      <c r="V20" s="2"/>
      <c r="W20" s="2"/>
      <c r="X20" s="2"/>
      <c r="Y20" s="2"/>
      <c r="Z20" s="2"/>
    </row>
    <row r="21" spans="1:26" ht="15.75" customHeight="1" thickBot="1" x14ac:dyDescent="0.35">
      <c r="A21" s="40">
        <v>1020</v>
      </c>
      <c r="B21" s="41" t="s">
        <v>63</v>
      </c>
      <c r="C21" s="41">
        <v>83</v>
      </c>
      <c r="D21" s="41">
        <v>92</v>
      </c>
      <c r="E21" s="41">
        <v>55</v>
      </c>
      <c r="F21" s="42">
        <v>46521</v>
      </c>
      <c r="G21" s="2"/>
      <c r="H21" s="31">
        <f t="shared" si="1"/>
        <v>230</v>
      </c>
      <c r="I21" s="32" t="str">
        <f t="shared" si="2"/>
        <v>B</v>
      </c>
      <c r="J21" s="33">
        <f t="shared" si="3"/>
        <v>0.76666666666666672</v>
      </c>
      <c r="K21" s="34" t="str">
        <f t="shared" si="0"/>
        <v>YES</v>
      </c>
      <c r="M21" s="2"/>
      <c r="N21" s="2"/>
      <c r="O21" s="2"/>
      <c r="P21" s="2"/>
      <c r="Q21" s="2"/>
      <c r="R21" s="2"/>
      <c r="S21" s="2"/>
      <c r="T21" s="2"/>
      <c r="U21" s="2"/>
      <c r="V21" s="2"/>
      <c r="W21" s="2"/>
      <c r="X21" s="2"/>
      <c r="Y21" s="2"/>
      <c r="Z21" s="2"/>
    </row>
    <row r="22" spans="1:26" ht="15.75" customHeight="1" x14ac:dyDescent="0.3">
      <c r="A22" s="2"/>
      <c r="B22" s="2"/>
      <c r="C22" s="2"/>
      <c r="D22" s="2"/>
      <c r="E22" s="2"/>
      <c r="F22" s="2"/>
      <c r="G22" s="2"/>
      <c r="H22" s="2"/>
      <c r="I22" s="2"/>
      <c r="J22" s="2"/>
      <c r="K22" s="2"/>
      <c r="M22" s="2"/>
      <c r="N22" s="2"/>
      <c r="O22" s="2"/>
      <c r="P22" s="2"/>
      <c r="Q22" s="2"/>
      <c r="R22" s="2"/>
      <c r="S22" s="2"/>
      <c r="T22" s="2"/>
      <c r="U22" s="2"/>
      <c r="V22" s="2"/>
      <c r="W22" s="2"/>
      <c r="X22" s="2"/>
      <c r="Y22" s="2"/>
      <c r="Z22" s="2"/>
    </row>
    <row r="23" spans="1:26" ht="15.75" customHeight="1" x14ac:dyDescent="0.3">
      <c r="A23" s="2"/>
      <c r="B23" s="2"/>
      <c r="C23" s="2"/>
      <c r="D23" s="2"/>
      <c r="E23" s="2"/>
      <c r="F23" s="2"/>
      <c r="G23" s="2"/>
      <c r="H23" s="2"/>
      <c r="I23" s="2"/>
      <c r="J23" s="2"/>
      <c r="K23" s="2"/>
      <c r="M23" s="2"/>
      <c r="N23" s="2"/>
      <c r="O23" s="2"/>
      <c r="P23" s="2"/>
      <c r="Q23" s="2"/>
      <c r="R23" s="2"/>
      <c r="S23" s="2"/>
      <c r="T23" s="2"/>
      <c r="U23" s="2"/>
      <c r="V23" s="2"/>
      <c r="W23" s="2"/>
      <c r="X23" s="2"/>
      <c r="Y23" s="2"/>
      <c r="Z23" s="2"/>
    </row>
    <row r="24" spans="1:26" ht="37.200000000000003" customHeight="1" x14ac:dyDescent="0.3">
      <c r="A24" s="23" t="s">
        <v>130</v>
      </c>
      <c r="B24" s="23"/>
      <c r="C24" s="2"/>
      <c r="D24" s="23" t="s">
        <v>132</v>
      </c>
      <c r="E24" s="23"/>
      <c r="F24" s="2"/>
      <c r="G24" s="19" t="s">
        <v>133</v>
      </c>
      <c r="H24" s="19"/>
      <c r="I24" s="2"/>
      <c r="J24" s="20" t="s">
        <v>134</v>
      </c>
      <c r="K24" s="21"/>
      <c r="L24" s="21"/>
      <c r="M24" s="21"/>
      <c r="N24" s="2"/>
      <c r="O24" s="2"/>
      <c r="P24" s="2"/>
      <c r="Q24" s="2"/>
      <c r="R24" s="2"/>
      <c r="S24" s="2"/>
      <c r="T24" s="2"/>
      <c r="U24" s="2"/>
      <c r="V24" s="2"/>
      <c r="W24" s="2"/>
      <c r="X24" s="2"/>
      <c r="Y24" s="2"/>
      <c r="Z24" s="2"/>
    </row>
    <row r="25" spans="1:26" ht="15.75" customHeight="1" x14ac:dyDescent="0.3">
      <c r="A25" s="10">
        <f ca="1">COUNTIFS(J:J,"&gt;0.6")</f>
        <v>16</v>
      </c>
      <c r="B25" s="10"/>
      <c r="C25" s="2"/>
      <c r="D25" s="10">
        <f>COUNTIFS(C2:C21,"&gt;50")</f>
        <v>19</v>
      </c>
      <c r="E25" s="10"/>
      <c r="F25" s="2"/>
      <c r="G25" s="11">
        <f>AVERAGEIF(J2:J21,"&gt;0.6")</f>
        <v>0.73625000000000007</v>
      </c>
      <c r="H25" s="11"/>
      <c r="I25" s="2"/>
      <c r="J25" s="5" t="e" cm="1">
        <f t="array" aca="1" ref="J25:M26" ca="1">_xlfn._xlws.FILTER(CHOOSE({1,2,3,4}, A2:A100, B2:B100, J2:J100, I2:I100), J2:J100&gt;0.8, "No students above 80%")</f>
        <v>#NAME?</v>
      </c>
      <c r="K25" s="5" t="e">
        <f ca="1"/>
        <v>#NAME?</v>
      </c>
      <c r="L25" s="8" t="e">
        <f ca="1"/>
        <v>#NAME?</v>
      </c>
      <c r="M25" s="5" t="e">
        <f ca="1"/>
        <v>#NAME?</v>
      </c>
      <c r="N25" s="2"/>
      <c r="O25" s="2"/>
      <c r="P25" s="2"/>
      <c r="Q25" s="2"/>
      <c r="R25" s="2"/>
      <c r="S25" s="2"/>
      <c r="T25" s="2"/>
      <c r="U25" s="2"/>
      <c r="V25" s="2"/>
      <c r="W25" s="2"/>
      <c r="X25" s="2"/>
      <c r="Y25" s="2"/>
      <c r="Z25" s="2"/>
    </row>
    <row r="26" spans="1:26" ht="15.75" customHeight="1" x14ac:dyDescent="0.3">
      <c r="A26" s="2"/>
      <c r="B26" s="2"/>
      <c r="C26" s="2"/>
      <c r="D26" s="2"/>
      <c r="E26" s="2"/>
      <c r="F26" s="2"/>
      <c r="G26" s="2"/>
      <c r="H26" s="2"/>
      <c r="I26" s="2"/>
      <c r="J26" s="5" t="e">
        <f ca="1"/>
        <v>#NAME?</v>
      </c>
      <c r="K26" s="5" t="e">
        <f ca="1"/>
        <v>#NAME?</v>
      </c>
      <c r="L26" s="8" t="e">
        <f ca="1"/>
        <v>#NAME?</v>
      </c>
      <c r="M26" s="5" t="e">
        <f ca="1"/>
        <v>#NAME?</v>
      </c>
      <c r="N26" s="2"/>
      <c r="O26" s="2"/>
      <c r="P26" s="2"/>
      <c r="Q26" s="2"/>
      <c r="R26" s="2"/>
      <c r="S26" s="2"/>
      <c r="T26" s="2"/>
      <c r="U26" s="2"/>
      <c r="V26" s="2"/>
      <c r="W26" s="2"/>
      <c r="X26" s="2"/>
      <c r="Y26" s="2"/>
      <c r="Z26" s="2"/>
    </row>
    <row r="27" spans="1:26" ht="15.75" customHeight="1" x14ac:dyDescent="0.3">
      <c r="B27" s="2"/>
      <c r="C27" s="2"/>
      <c r="D27" s="2"/>
      <c r="E27" s="2"/>
      <c r="F27" s="2"/>
      <c r="G27" s="2"/>
      <c r="H27" s="2"/>
      <c r="I27" s="2"/>
      <c r="J27" s="2"/>
      <c r="K27" s="2"/>
      <c r="M27" s="2"/>
      <c r="N27" s="2"/>
      <c r="O27" s="2"/>
      <c r="P27" s="2"/>
      <c r="Q27" s="2"/>
      <c r="R27" s="2"/>
      <c r="S27" s="2"/>
      <c r="T27" s="2"/>
      <c r="U27" s="2"/>
      <c r="V27" s="2"/>
      <c r="W27" s="2"/>
      <c r="X27" s="2"/>
      <c r="Y27" s="2"/>
      <c r="Z27" s="2"/>
    </row>
    <row r="28" spans="1:26" ht="15.75" customHeight="1" x14ac:dyDescent="0.3">
      <c r="B28" s="2"/>
      <c r="C28" s="2"/>
      <c r="D28" s="2"/>
      <c r="E28" s="2"/>
      <c r="F28" s="2"/>
      <c r="G28" s="2"/>
      <c r="H28" s="2"/>
      <c r="I28" s="2"/>
      <c r="J28" s="2"/>
      <c r="K28" s="2"/>
      <c r="M28" s="2"/>
      <c r="N28" s="2"/>
      <c r="O28" s="2"/>
      <c r="P28" s="2"/>
      <c r="Q28" s="2"/>
      <c r="R28" s="2"/>
      <c r="S28" s="2"/>
      <c r="T28" s="2"/>
      <c r="U28" s="2"/>
      <c r="V28" s="2"/>
      <c r="W28" s="2"/>
      <c r="X28" s="2"/>
      <c r="Y28" s="2"/>
      <c r="Z28" s="2"/>
    </row>
    <row r="29" spans="1:26" ht="15.75" customHeight="1" x14ac:dyDescent="0.3">
      <c r="A29" s="2"/>
      <c r="B29" s="2"/>
      <c r="C29" s="2"/>
      <c r="D29" s="2"/>
      <c r="E29" s="2"/>
      <c r="F29" s="2"/>
      <c r="G29" s="2"/>
      <c r="H29" s="2"/>
      <c r="I29" s="2"/>
      <c r="J29" s="2"/>
      <c r="K29" s="2"/>
      <c r="M29" s="2"/>
      <c r="N29" s="2"/>
      <c r="O29" s="2"/>
      <c r="P29" s="2"/>
      <c r="Q29" s="2"/>
      <c r="R29" s="2"/>
      <c r="S29" s="2"/>
      <c r="T29" s="2"/>
      <c r="U29" s="2"/>
      <c r="V29" s="2"/>
      <c r="W29" s="2"/>
      <c r="X29" s="2"/>
      <c r="Y29" s="2"/>
      <c r="Z29" s="2"/>
    </row>
    <row r="30" spans="1:26" ht="15.75" customHeight="1" x14ac:dyDescent="0.3">
      <c r="B30" s="2"/>
      <c r="C30" s="2"/>
      <c r="D30" s="2"/>
      <c r="E30" s="2"/>
      <c r="F30" s="2"/>
      <c r="G30" s="2"/>
      <c r="H30" s="2"/>
      <c r="I30" s="2"/>
      <c r="J30" s="2"/>
      <c r="K30" s="2"/>
      <c r="M30" s="2"/>
      <c r="N30" s="2"/>
      <c r="O30" s="2"/>
      <c r="P30" s="2"/>
      <c r="Q30" s="2"/>
      <c r="R30" s="2"/>
      <c r="S30" s="2"/>
      <c r="T30" s="2"/>
      <c r="U30" s="2"/>
      <c r="V30" s="2"/>
      <c r="W30" s="2"/>
      <c r="X30" s="2"/>
      <c r="Y30" s="2"/>
      <c r="Z30" s="2"/>
    </row>
    <row r="31" spans="1:26" ht="15.75" customHeight="1" x14ac:dyDescent="0.3">
      <c r="B31" s="2"/>
      <c r="C31" s="2"/>
      <c r="D31" s="2"/>
      <c r="E31" s="2"/>
      <c r="F31" s="2"/>
      <c r="G31" s="2"/>
      <c r="H31" s="2"/>
      <c r="I31" s="2"/>
      <c r="J31" s="2"/>
      <c r="K31" s="2"/>
      <c r="M31" s="2"/>
      <c r="N31" s="2"/>
      <c r="O31" s="2"/>
      <c r="P31" s="2"/>
      <c r="Q31" s="2"/>
      <c r="R31" s="2"/>
      <c r="S31" s="2"/>
      <c r="T31" s="2"/>
      <c r="U31" s="2"/>
      <c r="V31" s="2"/>
      <c r="W31" s="2"/>
      <c r="X31" s="2"/>
      <c r="Y31" s="2"/>
      <c r="Z31" s="2"/>
    </row>
    <row r="32" spans="1:26" ht="15.75" customHeight="1" x14ac:dyDescent="0.3">
      <c r="A32" s="2"/>
      <c r="B32" s="2"/>
      <c r="C32" s="2"/>
      <c r="D32" s="2"/>
      <c r="E32" s="2"/>
      <c r="F32" s="2"/>
      <c r="G32" s="2"/>
      <c r="H32" s="2"/>
      <c r="I32" s="2"/>
      <c r="J32" s="2"/>
      <c r="K32" s="2"/>
      <c r="M32" s="2"/>
      <c r="N32" s="2"/>
      <c r="O32" s="2"/>
      <c r="P32" s="2"/>
      <c r="Q32" s="2"/>
      <c r="R32" s="2"/>
      <c r="S32" s="2"/>
      <c r="T32" s="2"/>
      <c r="U32" s="2"/>
      <c r="V32" s="2"/>
      <c r="W32" s="2"/>
      <c r="X32" s="2"/>
      <c r="Y32" s="2"/>
      <c r="Z32" s="2"/>
    </row>
    <row r="33" spans="1:26" ht="15.75" customHeight="1" x14ac:dyDescent="0.3">
      <c r="A33" s="2"/>
      <c r="B33" s="2"/>
      <c r="C33" s="2"/>
      <c r="D33" s="2"/>
      <c r="E33" s="2"/>
      <c r="F33" s="2"/>
      <c r="G33" s="2"/>
      <c r="H33" s="2"/>
      <c r="I33" s="2"/>
      <c r="J33" s="2"/>
      <c r="K33" s="2"/>
      <c r="M33" s="2"/>
      <c r="N33" s="2"/>
      <c r="O33" s="2"/>
      <c r="P33" s="2"/>
      <c r="Q33" s="2"/>
      <c r="R33" s="2"/>
      <c r="S33" s="2"/>
      <c r="T33" s="2"/>
      <c r="U33" s="2"/>
      <c r="V33" s="2"/>
      <c r="W33" s="2"/>
      <c r="X33" s="2"/>
      <c r="Y33" s="2"/>
      <c r="Z33" s="2"/>
    </row>
    <row r="34" spans="1:26" ht="15.75" customHeight="1" x14ac:dyDescent="0.3">
      <c r="A34" s="2"/>
      <c r="B34" s="2"/>
      <c r="C34" s="2"/>
      <c r="D34" s="2"/>
      <c r="E34" s="2"/>
      <c r="F34" s="2"/>
      <c r="G34" s="2"/>
      <c r="H34" s="2"/>
      <c r="I34" s="2"/>
      <c r="J34" s="2"/>
      <c r="K34" s="2"/>
      <c r="M34" s="2"/>
      <c r="N34" s="2"/>
      <c r="O34" s="2"/>
      <c r="P34" s="2"/>
      <c r="Q34" s="2"/>
      <c r="R34" s="2"/>
      <c r="S34" s="2"/>
      <c r="T34" s="2"/>
      <c r="U34" s="2"/>
      <c r="V34" s="2"/>
      <c r="W34" s="2"/>
      <c r="X34" s="2"/>
      <c r="Y34" s="2"/>
      <c r="Z34" s="2"/>
    </row>
    <row r="35" spans="1:26" ht="15.75" customHeight="1" x14ac:dyDescent="0.3">
      <c r="A35" s="2"/>
      <c r="B35" s="2"/>
      <c r="C35" s="2"/>
      <c r="D35" s="2"/>
      <c r="E35" s="2"/>
      <c r="F35" s="2"/>
      <c r="G35" s="2"/>
      <c r="H35" s="2"/>
      <c r="I35" s="2"/>
      <c r="J35" s="2"/>
      <c r="K35" s="2"/>
      <c r="M35" s="2"/>
      <c r="N35" s="2"/>
      <c r="O35" s="2"/>
      <c r="P35" s="2"/>
      <c r="Q35" s="2"/>
      <c r="R35" s="2"/>
      <c r="S35" s="2"/>
      <c r="T35" s="2"/>
      <c r="U35" s="2"/>
      <c r="V35" s="2"/>
      <c r="W35" s="2"/>
      <c r="X35" s="2"/>
      <c r="Y35" s="2"/>
      <c r="Z35" s="2"/>
    </row>
    <row r="36" spans="1:26" ht="15.75" customHeight="1" x14ac:dyDescent="0.3">
      <c r="A36" s="2"/>
      <c r="B36" s="2"/>
      <c r="C36" s="2"/>
      <c r="D36" s="2"/>
      <c r="E36" s="2"/>
      <c r="F36" s="2"/>
      <c r="G36" s="2"/>
      <c r="H36" s="2"/>
      <c r="I36" s="2"/>
      <c r="J36" s="2"/>
      <c r="K36" s="2"/>
      <c r="M36" s="2"/>
      <c r="N36" s="2"/>
      <c r="O36" s="2"/>
      <c r="P36" s="2"/>
      <c r="Q36" s="2"/>
      <c r="R36" s="2"/>
      <c r="S36" s="2"/>
      <c r="T36" s="2"/>
      <c r="U36" s="2"/>
      <c r="V36" s="2"/>
      <c r="W36" s="2"/>
      <c r="X36" s="2"/>
      <c r="Y36" s="2"/>
      <c r="Z36" s="2"/>
    </row>
    <row r="37" spans="1:26" ht="15.75" customHeight="1" x14ac:dyDescent="0.3">
      <c r="A37" s="2"/>
      <c r="B37" s="2"/>
      <c r="C37" s="2"/>
      <c r="D37" s="2"/>
      <c r="E37" s="2"/>
      <c r="F37" s="2"/>
      <c r="G37" s="2"/>
      <c r="H37" s="2"/>
      <c r="I37" s="2"/>
      <c r="J37" s="2"/>
      <c r="K37" s="2"/>
      <c r="M37" s="2"/>
      <c r="N37" s="2"/>
      <c r="O37" s="2"/>
      <c r="P37" s="2"/>
      <c r="Q37" s="2"/>
      <c r="R37" s="2"/>
      <c r="S37" s="2"/>
      <c r="T37" s="2"/>
      <c r="U37" s="2"/>
      <c r="V37" s="2"/>
      <c r="W37" s="2"/>
      <c r="X37" s="2"/>
      <c r="Y37" s="2"/>
      <c r="Z37" s="2"/>
    </row>
    <row r="38" spans="1:26" ht="15.75" customHeight="1" x14ac:dyDescent="0.3">
      <c r="A38" s="2"/>
      <c r="B38" s="2"/>
      <c r="C38" s="2"/>
      <c r="D38" s="2"/>
      <c r="E38" s="2"/>
      <c r="F38" s="2"/>
      <c r="G38" s="2"/>
      <c r="H38" s="2"/>
      <c r="I38" s="2"/>
      <c r="J38" s="2"/>
      <c r="K38" s="2"/>
      <c r="M38" s="2"/>
      <c r="N38" s="2"/>
      <c r="O38" s="2"/>
      <c r="P38" s="2"/>
      <c r="Q38" s="2"/>
      <c r="R38" s="2"/>
      <c r="S38" s="2"/>
      <c r="T38" s="2"/>
      <c r="U38" s="2"/>
      <c r="V38" s="2"/>
      <c r="W38" s="2"/>
      <c r="X38" s="2"/>
      <c r="Y38" s="2"/>
      <c r="Z38" s="2"/>
    </row>
    <row r="39" spans="1:26" ht="15.75" customHeight="1" x14ac:dyDescent="0.3">
      <c r="A39" s="2"/>
      <c r="B39" s="2"/>
      <c r="C39" s="2"/>
      <c r="D39" s="2"/>
      <c r="E39" s="2"/>
      <c r="F39" s="2"/>
      <c r="G39" s="2"/>
      <c r="H39" s="2"/>
      <c r="I39" s="2"/>
      <c r="J39" s="2"/>
      <c r="K39" s="2"/>
      <c r="M39" s="2"/>
      <c r="N39" s="2"/>
      <c r="O39" s="2"/>
      <c r="P39" s="2"/>
      <c r="Q39" s="2"/>
      <c r="R39" s="2"/>
      <c r="S39" s="2"/>
      <c r="T39" s="2"/>
      <c r="U39" s="2"/>
      <c r="V39" s="2"/>
      <c r="W39" s="2"/>
      <c r="X39" s="2"/>
      <c r="Y39" s="2"/>
      <c r="Z39" s="2"/>
    </row>
    <row r="40" spans="1:26" ht="15.75" customHeight="1" x14ac:dyDescent="0.3">
      <c r="A40" s="2"/>
      <c r="B40" s="2"/>
      <c r="C40" s="2"/>
      <c r="D40" s="2"/>
      <c r="E40" s="2"/>
      <c r="F40" s="2"/>
      <c r="G40" s="2"/>
      <c r="H40" s="2"/>
      <c r="I40" s="2"/>
      <c r="J40" s="2"/>
      <c r="K40" s="2"/>
      <c r="M40" s="2"/>
      <c r="N40" s="2"/>
      <c r="O40" s="2"/>
      <c r="P40" s="2"/>
      <c r="Q40" s="2"/>
      <c r="R40" s="2"/>
      <c r="S40" s="2"/>
      <c r="T40" s="2"/>
      <c r="U40" s="2"/>
      <c r="V40" s="2"/>
      <c r="W40" s="2"/>
      <c r="X40" s="2"/>
      <c r="Y40" s="2"/>
      <c r="Z40" s="2"/>
    </row>
    <row r="41" spans="1:26" ht="15.75" customHeight="1" x14ac:dyDescent="0.3">
      <c r="A41" s="2"/>
      <c r="B41" s="2"/>
      <c r="C41" s="2"/>
      <c r="D41" s="2"/>
      <c r="E41" s="2"/>
      <c r="F41" s="2"/>
      <c r="G41" s="2"/>
      <c r="H41" s="2"/>
      <c r="I41" s="2"/>
      <c r="J41" s="2"/>
      <c r="K41" s="2"/>
      <c r="M41" s="2"/>
      <c r="N41" s="2"/>
      <c r="O41" s="2"/>
      <c r="P41" s="2"/>
      <c r="Q41" s="2"/>
      <c r="R41" s="2"/>
      <c r="S41" s="2"/>
      <c r="T41" s="2"/>
      <c r="U41" s="2"/>
      <c r="V41" s="2"/>
      <c r="W41" s="2"/>
      <c r="X41" s="2"/>
      <c r="Y41" s="2"/>
      <c r="Z41" s="2"/>
    </row>
    <row r="42" spans="1:26" ht="15.75" customHeight="1" x14ac:dyDescent="0.3">
      <c r="A42" s="2"/>
      <c r="B42" s="2"/>
      <c r="C42" s="2"/>
      <c r="D42" s="2"/>
      <c r="E42" s="2"/>
      <c r="F42" s="2"/>
      <c r="G42" s="2"/>
      <c r="H42" s="2"/>
      <c r="I42" s="2"/>
      <c r="J42" s="2"/>
      <c r="K42" s="2"/>
      <c r="M42" s="2"/>
      <c r="N42" s="2"/>
      <c r="O42" s="2"/>
      <c r="P42" s="2"/>
      <c r="Q42" s="2"/>
      <c r="R42" s="2"/>
      <c r="S42" s="2"/>
      <c r="T42" s="2"/>
      <c r="U42" s="2"/>
      <c r="V42" s="2"/>
      <c r="W42" s="2"/>
      <c r="X42" s="2"/>
      <c r="Y42" s="2"/>
      <c r="Z42" s="2"/>
    </row>
    <row r="43" spans="1:26" ht="15.75" customHeight="1" x14ac:dyDescent="0.3">
      <c r="A43" s="2"/>
      <c r="B43" s="2"/>
      <c r="C43" s="2"/>
      <c r="D43" s="2"/>
      <c r="E43" s="2"/>
      <c r="F43" s="2"/>
      <c r="G43" s="2"/>
      <c r="H43" s="2"/>
      <c r="I43" s="2"/>
      <c r="J43" s="2"/>
      <c r="K43" s="2"/>
      <c r="M43" s="2"/>
      <c r="N43" s="2"/>
      <c r="O43" s="2"/>
      <c r="P43" s="2"/>
      <c r="Q43" s="2"/>
      <c r="R43" s="2"/>
      <c r="S43" s="2"/>
      <c r="T43" s="2"/>
      <c r="U43" s="2"/>
      <c r="V43" s="2"/>
      <c r="W43" s="2"/>
      <c r="X43" s="2"/>
      <c r="Y43" s="2"/>
      <c r="Z43" s="2"/>
    </row>
    <row r="44" spans="1:26" ht="15.75" customHeight="1" x14ac:dyDescent="0.3">
      <c r="A44" s="2"/>
      <c r="B44" s="2"/>
      <c r="C44" s="2"/>
      <c r="D44" s="2"/>
      <c r="E44" s="2"/>
      <c r="F44" s="2"/>
      <c r="G44" s="2"/>
      <c r="H44" s="2"/>
      <c r="I44" s="2"/>
      <c r="J44" s="2"/>
      <c r="K44" s="2"/>
      <c r="M44" s="2"/>
      <c r="N44" s="2"/>
      <c r="O44" s="2"/>
      <c r="P44" s="2"/>
      <c r="Q44" s="2"/>
      <c r="R44" s="2"/>
      <c r="S44" s="2"/>
      <c r="T44" s="2"/>
      <c r="U44" s="2"/>
      <c r="V44" s="2"/>
      <c r="W44" s="2"/>
      <c r="X44" s="2"/>
      <c r="Y44" s="2"/>
      <c r="Z44" s="2"/>
    </row>
    <row r="45" spans="1:26" ht="15.75" customHeight="1" x14ac:dyDescent="0.3">
      <c r="A45" s="2"/>
      <c r="B45" s="2"/>
      <c r="C45" s="2"/>
      <c r="D45" s="2"/>
      <c r="E45" s="2"/>
      <c r="F45" s="2"/>
      <c r="G45" s="2"/>
      <c r="H45" s="2"/>
      <c r="I45" s="2"/>
      <c r="J45" s="2"/>
      <c r="K45" s="2"/>
      <c r="M45" s="2"/>
      <c r="N45" s="2"/>
      <c r="O45" s="2"/>
      <c r="P45" s="2"/>
      <c r="Q45" s="2"/>
      <c r="R45" s="2"/>
      <c r="S45" s="2"/>
      <c r="T45" s="2"/>
      <c r="U45" s="2"/>
      <c r="V45" s="2"/>
      <c r="W45" s="2"/>
      <c r="X45" s="2"/>
      <c r="Y45" s="2"/>
      <c r="Z45" s="2"/>
    </row>
    <row r="46" spans="1:26" ht="15.75" customHeight="1" x14ac:dyDescent="0.3">
      <c r="A46" s="2"/>
      <c r="B46" s="2"/>
      <c r="C46" s="2"/>
      <c r="D46" s="2"/>
      <c r="E46" s="2"/>
      <c r="F46" s="2"/>
      <c r="G46" s="2"/>
      <c r="H46" s="2"/>
      <c r="I46" s="2"/>
      <c r="J46" s="2"/>
      <c r="K46" s="2"/>
      <c r="M46" s="2"/>
      <c r="N46" s="2"/>
      <c r="O46" s="2"/>
      <c r="P46" s="2"/>
      <c r="Q46" s="2"/>
      <c r="R46" s="2"/>
      <c r="S46" s="2"/>
      <c r="T46" s="2"/>
      <c r="U46" s="2"/>
      <c r="V46" s="2"/>
      <c r="W46" s="2"/>
      <c r="X46" s="2"/>
      <c r="Y46" s="2"/>
      <c r="Z46" s="2"/>
    </row>
    <row r="47" spans="1:26" ht="15.75" customHeight="1" x14ac:dyDescent="0.3">
      <c r="A47" s="2"/>
      <c r="B47" s="2"/>
      <c r="C47" s="2"/>
      <c r="D47" s="2"/>
      <c r="E47" s="2"/>
      <c r="F47" s="2"/>
      <c r="G47" s="2"/>
      <c r="H47" s="2"/>
      <c r="I47" s="2"/>
      <c r="J47" s="2"/>
      <c r="K47" s="2"/>
      <c r="M47" s="2"/>
      <c r="N47" s="2"/>
      <c r="O47" s="2"/>
      <c r="P47" s="2"/>
      <c r="Q47" s="2"/>
      <c r="R47" s="2"/>
      <c r="S47" s="2"/>
      <c r="T47" s="2"/>
      <c r="U47" s="2"/>
      <c r="V47" s="2"/>
      <c r="W47" s="2"/>
      <c r="X47" s="2"/>
      <c r="Y47" s="2"/>
      <c r="Z47" s="2"/>
    </row>
    <row r="48" spans="1:26" ht="15.75" customHeight="1" x14ac:dyDescent="0.3">
      <c r="A48" s="2"/>
      <c r="B48" s="2"/>
      <c r="C48" s="2"/>
      <c r="D48" s="2"/>
      <c r="E48" s="2"/>
      <c r="F48" s="2"/>
      <c r="G48" s="2"/>
      <c r="H48" s="2"/>
      <c r="I48" s="2"/>
      <c r="J48" s="2"/>
      <c r="K48" s="2"/>
      <c r="M48" s="2"/>
      <c r="N48" s="2"/>
      <c r="O48" s="2"/>
      <c r="P48" s="2"/>
      <c r="Q48" s="2"/>
      <c r="R48" s="2"/>
      <c r="S48" s="2"/>
      <c r="T48" s="2"/>
      <c r="U48" s="2"/>
      <c r="V48" s="2"/>
      <c r="W48" s="2"/>
      <c r="X48" s="2"/>
      <c r="Y48" s="2"/>
      <c r="Z48" s="2"/>
    </row>
    <row r="49" spans="1:26" ht="15.75" customHeight="1" x14ac:dyDescent="0.3">
      <c r="A49" s="2"/>
      <c r="B49" s="2"/>
      <c r="C49" s="2"/>
      <c r="D49" s="2"/>
      <c r="E49" s="2"/>
      <c r="F49" s="2"/>
      <c r="G49" s="2"/>
      <c r="H49" s="2"/>
      <c r="I49" s="2"/>
      <c r="J49" s="2"/>
      <c r="K49" s="2"/>
      <c r="M49" s="2"/>
      <c r="N49" s="2"/>
      <c r="O49" s="2"/>
      <c r="P49" s="2"/>
      <c r="Q49" s="2"/>
      <c r="R49" s="2"/>
      <c r="S49" s="2"/>
      <c r="T49" s="2"/>
      <c r="U49" s="2"/>
      <c r="V49" s="2"/>
      <c r="W49" s="2"/>
      <c r="X49" s="2"/>
      <c r="Y49" s="2"/>
      <c r="Z49" s="2"/>
    </row>
    <row r="50" spans="1:26" ht="15.75" customHeight="1" x14ac:dyDescent="0.3">
      <c r="A50" s="2"/>
      <c r="B50" s="2"/>
      <c r="C50" s="2"/>
      <c r="D50" s="2"/>
      <c r="E50" s="2"/>
      <c r="F50" s="2"/>
      <c r="G50" s="2"/>
      <c r="H50" s="2"/>
      <c r="I50" s="2"/>
      <c r="J50" s="2"/>
      <c r="K50" s="2"/>
      <c r="M50" s="2"/>
      <c r="N50" s="2"/>
      <c r="O50" s="2"/>
      <c r="P50" s="2"/>
      <c r="Q50" s="2"/>
      <c r="R50" s="2"/>
      <c r="S50" s="2"/>
      <c r="T50" s="2"/>
      <c r="U50" s="2"/>
      <c r="V50" s="2"/>
      <c r="W50" s="2"/>
      <c r="X50" s="2"/>
      <c r="Y50" s="2"/>
      <c r="Z50" s="2"/>
    </row>
    <row r="51" spans="1:26" ht="15.75" customHeight="1" x14ac:dyDescent="0.3">
      <c r="A51" s="2"/>
      <c r="B51" s="2"/>
      <c r="C51" s="2"/>
      <c r="D51" s="2"/>
      <c r="E51" s="2"/>
      <c r="F51" s="2"/>
      <c r="G51" s="2"/>
      <c r="H51" s="2"/>
      <c r="I51" s="2"/>
      <c r="J51" s="2"/>
      <c r="K51" s="2"/>
      <c r="M51" s="2"/>
      <c r="N51" s="2"/>
      <c r="O51" s="2"/>
      <c r="P51" s="2"/>
      <c r="Q51" s="2"/>
      <c r="R51" s="2"/>
      <c r="S51" s="2"/>
      <c r="T51" s="2"/>
      <c r="U51" s="2"/>
      <c r="V51" s="2"/>
      <c r="W51" s="2"/>
      <c r="X51" s="2"/>
      <c r="Y51" s="2"/>
      <c r="Z51" s="2"/>
    </row>
    <row r="52" spans="1:26" ht="15.75" customHeight="1" x14ac:dyDescent="0.3">
      <c r="A52" s="2"/>
      <c r="B52" s="2"/>
      <c r="C52" s="2"/>
      <c r="D52" s="2"/>
      <c r="E52" s="2"/>
      <c r="F52" s="2"/>
      <c r="G52" s="2"/>
      <c r="H52" s="2"/>
      <c r="I52" s="2"/>
      <c r="J52" s="2"/>
      <c r="K52" s="2"/>
      <c r="M52" s="2"/>
      <c r="N52" s="2"/>
      <c r="O52" s="2"/>
      <c r="P52" s="2"/>
      <c r="Q52" s="2"/>
      <c r="R52" s="2"/>
      <c r="S52" s="2"/>
      <c r="T52" s="2"/>
      <c r="U52" s="2"/>
      <c r="V52" s="2"/>
      <c r="W52" s="2"/>
      <c r="X52" s="2"/>
      <c r="Y52" s="2"/>
      <c r="Z52" s="2"/>
    </row>
    <row r="53" spans="1:26" ht="15.75" customHeight="1" x14ac:dyDescent="0.3">
      <c r="A53" s="2"/>
      <c r="B53" s="2"/>
      <c r="C53" s="2"/>
      <c r="D53" s="2"/>
      <c r="E53" s="2"/>
      <c r="F53" s="2"/>
      <c r="G53" s="2"/>
      <c r="H53" s="2"/>
      <c r="I53" s="2"/>
      <c r="J53" s="2"/>
      <c r="K53" s="2"/>
      <c r="M53" s="2"/>
      <c r="N53" s="2"/>
      <c r="O53" s="2"/>
      <c r="P53" s="2"/>
      <c r="Q53" s="2"/>
      <c r="R53" s="2"/>
      <c r="S53" s="2"/>
      <c r="T53" s="2"/>
      <c r="U53" s="2"/>
      <c r="V53" s="2"/>
      <c r="W53" s="2"/>
      <c r="X53" s="2"/>
      <c r="Y53" s="2"/>
      <c r="Z53" s="2"/>
    </row>
    <row r="54" spans="1:26" ht="15.75" customHeight="1" x14ac:dyDescent="0.3">
      <c r="A54" s="2"/>
      <c r="B54" s="2"/>
      <c r="C54" s="2"/>
      <c r="D54" s="2"/>
      <c r="E54" s="2"/>
      <c r="F54" s="2"/>
      <c r="G54" s="2"/>
      <c r="H54" s="2"/>
      <c r="I54" s="2"/>
      <c r="J54" s="2"/>
      <c r="K54" s="2"/>
      <c r="M54" s="2"/>
      <c r="N54" s="2"/>
      <c r="O54" s="2"/>
      <c r="P54" s="2"/>
      <c r="Q54" s="2"/>
      <c r="R54" s="2"/>
      <c r="S54" s="2"/>
      <c r="T54" s="2"/>
      <c r="U54" s="2"/>
      <c r="V54" s="2"/>
      <c r="W54" s="2"/>
      <c r="X54" s="2"/>
      <c r="Y54" s="2"/>
      <c r="Z54" s="2"/>
    </row>
    <row r="55" spans="1:26" ht="15.75" customHeight="1" x14ac:dyDescent="0.3">
      <c r="A55" s="2"/>
      <c r="B55" s="2"/>
      <c r="C55" s="2"/>
      <c r="D55" s="2"/>
      <c r="E55" s="2"/>
      <c r="F55" s="2"/>
      <c r="G55" s="2"/>
      <c r="H55" s="2"/>
      <c r="I55" s="2"/>
      <c r="J55" s="2"/>
      <c r="K55" s="2"/>
      <c r="M55" s="2"/>
      <c r="N55" s="2"/>
      <c r="O55" s="2"/>
      <c r="P55" s="2"/>
      <c r="Q55" s="2"/>
      <c r="R55" s="2"/>
      <c r="S55" s="2"/>
      <c r="T55" s="2"/>
      <c r="U55" s="2"/>
      <c r="V55" s="2"/>
      <c r="W55" s="2"/>
      <c r="X55" s="2"/>
      <c r="Y55" s="2"/>
      <c r="Z55" s="2"/>
    </row>
    <row r="56" spans="1:26" ht="15.75" customHeight="1" x14ac:dyDescent="0.3">
      <c r="A56" s="2"/>
      <c r="B56" s="2"/>
      <c r="C56" s="2"/>
      <c r="D56" s="2"/>
      <c r="E56" s="2"/>
      <c r="F56" s="2"/>
      <c r="G56" s="2"/>
      <c r="H56" s="2"/>
      <c r="I56" s="2"/>
      <c r="J56" s="2"/>
      <c r="K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J57" s="2"/>
      <c r="K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J58" s="2"/>
      <c r="K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M924" s="2"/>
      <c r="N924" s="2"/>
      <c r="O924" s="2"/>
      <c r="P924" s="2"/>
      <c r="Q924" s="2"/>
      <c r="R924" s="2"/>
      <c r="S924" s="2"/>
      <c r="T924" s="2"/>
      <c r="U924" s="2"/>
      <c r="V924" s="2"/>
      <c r="W924" s="2"/>
      <c r="X924" s="2"/>
      <c r="Y924" s="2"/>
      <c r="Z924" s="2"/>
    </row>
    <row r="925" spans="1:26" ht="15.75" customHeight="1" x14ac:dyDescent="0.3">
      <c r="A925" s="2"/>
      <c r="B925" s="2"/>
      <c r="C925" s="2"/>
      <c r="D925" s="2"/>
      <c r="E925" s="2"/>
      <c r="F925" s="2"/>
      <c r="G925" s="2"/>
      <c r="H925" s="2"/>
      <c r="I925" s="2"/>
      <c r="J925" s="2"/>
      <c r="K925" s="2"/>
      <c r="M925" s="2"/>
      <c r="N925" s="2"/>
      <c r="O925" s="2"/>
      <c r="P925" s="2"/>
      <c r="Q925" s="2"/>
      <c r="R925" s="2"/>
      <c r="S925" s="2"/>
      <c r="T925" s="2"/>
      <c r="U925" s="2"/>
      <c r="V925" s="2"/>
      <c r="W925" s="2"/>
      <c r="X925" s="2"/>
      <c r="Y925" s="2"/>
      <c r="Z925" s="2"/>
    </row>
    <row r="926" spans="1:26" ht="15.75" customHeight="1" x14ac:dyDescent="0.3">
      <c r="A926" s="2"/>
      <c r="B926" s="2"/>
      <c r="C926" s="2"/>
      <c r="D926" s="2"/>
      <c r="E926" s="2"/>
      <c r="F926" s="2"/>
      <c r="G926" s="2"/>
      <c r="H926" s="2"/>
      <c r="I926" s="2"/>
      <c r="J926" s="2"/>
      <c r="K926" s="2"/>
      <c r="M926" s="2"/>
      <c r="N926" s="2"/>
      <c r="O926" s="2"/>
      <c r="P926" s="2"/>
      <c r="Q926" s="2"/>
      <c r="R926" s="2"/>
      <c r="S926" s="2"/>
      <c r="T926" s="2"/>
      <c r="U926" s="2"/>
      <c r="V926" s="2"/>
      <c r="W926" s="2"/>
      <c r="X926" s="2"/>
      <c r="Y926" s="2"/>
      <c r="Z926" s="2"/>
    </row>
    <row r="927" spans="1:26" ht="15.75" customHeight="1" x14ac:dyDescent="0.3">
      <c r="A927" s="2"/>
      <c r="B927" s="2"/>
      <c r="C927" s="2"/>
      <c r="D927" s="2"/>
      <c r="E927" s="2"/>
      <c r="F927" s="2"/>
      <c r="G927" s="2"/>
      <c r="H927" s="2"/>
      <c r="I927" s="2"/>
      <c r="J927" s="2"/>
      <c r="K927" s="2"/>
      <c r="M927" s="2"/>
      <c r="N927" s="2"/>
      <c r="O927" s="2"/>
      <c r="P927" s="2"/>
      <c r="Q927" s="2"/>
      <c r="R927" s="2"/>
      <c r="S927" s="2"/>
      <c r="T927" s="2"/>
      <c r="U927" s="2"/>
      <c r="V927" s="2"/>
      <c r="W927" s="2"/>
      <c r="X927" s="2"/>
      <c r="Y927" s="2"/>
      <c r="Z927" s="2"/>
    </row>
    <row r="928" spans="1:26" ht="15.75" customHeight="1" x14ac:dyDescent="0.3">
      <c r="A928" s="2"/>
      <c r="B928" s="2"/>
      <c r="C928" s="2"/>
      <c r="D928" s="2"/>
      <c r="E928" s="2"/>
      <c r="F928" s="2"/>
      <c r="G928" s="2"/>
      <c r="H928" s="2"/>
      <c r="I928" s="2"/>
      <c r="J928" s="2"/>
      <c r="K928" s="2"/>
      <c r="M928" s="2"/>
      <c r="N928" s="2"/>
      <c r="O928" s="2"/>
      <c r="P928" s="2"/>
      <c r="Q928" s="2"/>
      <c r="R928" s="2"/>
      <c r="S928" s="2"/>
      <c r="T928" s="2"/>
      <c r="U928" s="2"/>
      <c r="V928" s="2"/>
      <c r="W928" s="2"/>
      <c r="X928" s="2"/>
      <c r="Y928" s="2"/>
      <c r="Z928" s="2"/>
    </row>
    <row r="929" spans="1:26" ht="15.75" customHeight="1" x14ac:dyDescent="0.3">
      <c r="A929" s="2"/>
      <c r="B929" s="2"/>
      <c r="C929" s="2"/>
      <c r="D929" s="2"/>
      <c r="E929" s="2"/>
      <c r="F929" s="2"/>
      <c r="G929" s="2"/>
      <c r="H929" s="2"/>
      <c r="I929" s="2"/>
      <c r="J929" s="2"/>
      <c r="K929" s="2"/>
      <c r="M929" s="2"/>
      <c r="N929" s="2"/>
      <c r="O929" s="2"/>
      <c r="P929" s="2"/>
      <c r="Q929" s="2"/>
      <c r="R929" s="2"/>
      <c r="S929" s="2"/>
      <c r="T929" s="2"/>
      <c r="U929" s="2"/>
      <c r="V929" s="2"/>
      <c r="W929" s="2"/>
      <c r="X929" s="2"/>
      <c r="Y929" s="2"/>
      <c r="Z929" s="2"/>
    </row>
    <row r="930" spans="1:26" ht="15.75" customHeight="1" x14ac:dyDescent="0.3">
      <c r="A930" s="2"/>
      <c r="B930" s="2"/>
      <c r="C930" s="2"/>
      <c r="D930" s="2"/>
      <c r="E930" s="2"/>
      <c r="F930" s="2"/>
      <c r="G930" s="2"/>
      <c r="H930" s="2"/>
      <c r="I930" s="2"/>
      <c r="J930" s="2"/>
      <c r="K930" s="2"/>
      <c r="M930" s="2"/>
      <c r="N930" s="2"/>
      <c r="O930" s="2"/>
      <c r="P930" s="2"/>
      <c r="Q930" s="2"/>
      <c r="R930" s="2"/>
      <c r="S930" s="2"/>
      <c r="T930" s="2"/>
      <c r="U930" s="2"/>
      <c r="V930" s="2"/>
      <c r="W930" s="2"/>
      <c r="X930" s="2"/>
      <c r="Y930" s="2"/>
      <c r="Z930" s="2"/>
    </row>
    <row r="931" spans="1:26" ht="15.75" customHeight="1" x14ac:dyDescent="0.3">
      <c r="A931" s="2"/>
      <c r="B931" s="2"/>
      <c r="C931" s="2"/>
      <c r="D931" s="2"/>
      <c r="E931" s="2"/>
      <c r="F931" s="2"/>
      <c r="G931" s="2"/>
      <c r="H931" s="2"/>
      <c r="I931" s="2"/>
      <c r="J931" s="2"/>
      <c r="K931" s="2"/>
      <c r="M931" s="2"/>
      <c r="N931" s="2"/>
      <c r="O931" s="2"/>
      <c r="P931" s="2"/>
      <c r="Q931" s="2"/>
      <c r="R931" s="2"/>
      <c r="S931" s="2"/>
      <c r="T931" s="2"/>
      <c r="U931" s="2"/>
      <c r="V931" s="2"/>
      <c r="W931" s="2"/>
      <c r="X931" s="2"/>
      <c r="Y931" s="2"/>
      <c r="Z931" s="2"/>
    </row>
    <row r="932" spans="1:26" ht="15.75" customHeight="1" x14ac:dyDescent="0.3">
      <c r="A932" s="2"/>
      <c r="B932" s="2"/>
      <c r="C932" s="2"/>
      <c r="D932" s="2"/>
      <c r="E932" s="2"/>
      <c r="F932" s="2"/>
      <c r="G932" s="2"/>
      <c r="H932" s="2"/>
      <c r="I932" s="2"/>
      <c r="J932" s="2"/>
      <c r="K932" s="2"/>
      <c r="M932" s="2"/>
      <c r="N932" s="2"/>
      <c r="O932" s="2"/>
      <c r="P932" s="2"/>
      <c r="Q932" s="2"/>
      <c r="R932" s="2"/>
      <c r="S932" s="2"/>
      <c r="T932" s="2"/>
      <c r="U932" s="2"/>
      <c r="V932" s="2"/>
      <c r="W932" s="2"/>
      <c r="X932" s="2"/>
      <c r="Y932" s="2"/>
      <c r="Z932" s="2"/>
    </row>
    <row r="933" spans="1:26" ht="15.75" customHeight="1" x14ac:dyDescent="0.3">
      <c r="A933" s="2"/>
      <c r="B933" s="2"/>
      <c r="C933" s="2"/>
      <c r="D933" s="2"/>
      <c r="E933" s="2"/>
      <c r="F933" s="2"/>
      <c r="G933" s="2"/>
      <c r="H933" s="2"/>
      <c r="I933" s="2"/>
      <c r="J933" s="2"/>
      <c r="K933" s="2"/>
      <c r="M933" s="2"/>
      <c r="N933" s="2"/>
      <c r="O933" s="2"/>
      <c r="P933" s="2"/>
      <c r="Q933" s="2"/>
      <c r="R933" s="2"/>
      <c r="S933" s="2"/>
      <c r="T933" s="2"/>
      <c r="U933" s="2"/>
      <c r="V933" s="2"/>
      <c r="W933" s="2"/>
      <c r="X933" s="2"/>
      <c r="Y933" s="2"/>
      <c r="Z933" s="2"/>
    </row>
    <row r="934" spans="1:26" ht="15.75" customHeight="1" x14ac:dyDescent="0.3">
      <c r="A934" s="2"/>
      <c r="B934" s="2"/>
      <c r="C934" s="2"/>
      <c r="D934" s="2"/>
      <c r="E934" s="2"/>
      <c r="F934" s="2"/>
      <c r="G934" s="2"/>
      <c r="H934" s="2"/>
      <c r="I934" s="2"/>
      <c r="J934" s="2"/>
      <c r="K934" s="2"/>
      <c r="M934" s="2"/>
      <c r="N934" s="2"/>
      <c r="O934" s="2"/>
      <c r="P934" s="2"/>
      <c r="Q934" s="2"/>
      <c r="R934" s="2"/>
      <c r="S934" s="2"/>
      <c r="T934" s="2"/>
      <c r="U934" s="2"/>
      <c r="V934" s="2"/>
      <c r="W934" s="2"/>
      <c r="X934" s="2"/>
      <c r="Y934" s="2"/>
      <c r="Z934" s="2"/>
    </row>
    <row r="935" spans="1:26" ht="15.75" customHeight="1" x14ac:dyDescent="0.3">
      <c r="A935" s="2"/>
      <c r="B935" s="2"/>
      <c r="C935" s="2"/>
      <c r="D935" s="2"/>
      <c r="E935" s="2"/>
      <c r="F935" s="2"/>
      <c r="G935" s="2"/>
      <c r="H935" s="2"/>
      <c r="I935" s="2"/>
      <c r="J935" s="2"/>
      <c r="K935" s="2"/>
      <c r="M935" s="2"/>
      <c r="N935" s="2"/>
      <c r="O935" s="2"/>
      <c r="P935" s="2"/>
      <c r="Q935" s="2"/>
      <c r="R935" s="2"/>
      <c r="S935" s="2"/>
      <c r="T935" s="2"/>
      <c r="U935" s="2"/>
      <c r="V935" s="2"/>
      <c r="W935" s="2"/>
      <c r="X935" s="2"/>
      <c r="Y935" s="2"/>
      <c r="Z935" s="2"/>
    </row>
    <row r="936" spans="1:26" ht="15.75" customHeight="1" x14ac:dyDescent="0.3">
      <c r="A936" s="2"/>
      <c r="B936" s="2"/>
      <c r="C936" s="2"/>
      <c r="D936" s="2"/>
      <c r="E936" s="2"/>
      <c r="F936" s="2"/>
      <c r="G936" s="2"/>
      <c r="H936" s="2"/>
      <c r="I936" s="2"/>
      <c r="J936" s="2"/>
      <c r="K936" s="2"/>
      <c r="M936" s="2"/>
      <c r="N936" s="2"/>
      <c r="O936" s="2"/>
      <c r="P936" s="2"/>
      <c r="Q936" s="2"/>
      <c r="R936" s="2"/>
      <c r="S936" s="2"/>
      <c r="T936" s="2"/>
      <c r="U936" s="2"/>
      <c r="V936" s="2"/>
      <c r="W936" s="2"/>
      <c r="X936" s="2"/>
      <c r="Y936" s="2"/>
      <c r="Z936" s="2"/>
    </row>
    <row r="937" spans="1:26" ht="15.75" customHeight="1" x14ac:dyDescent="0.3">
      <c r="A937" s="2"/>
      <c r="B937" s="2"/>
      <c r="C937" s="2"/>
      <c r="D937" s="2"/>
      <c r="E937" s="2"/>
      <c r="F937" s="2"/>
      <c r="G937" s="2"/>
      <c r="H937" s="2"/>
      <c r="I937" s="2"/>
      <c r="J937" s="2"/>
      <c r="K937" s="2"/>
      <c r="M937" s="2"/>
      <c r="N937" s="2"/>
      <c r="O937" s="2"/>
      <c r="P937" s="2"/>
      <c r="Q937" s="2"/>
      <c r="R937" s="2"/>
      <c r="S937" s="2"/>
      <c r="T937" s="2"/>
      <c r="U937" s="2"/>
      <c r="V937" s="2"/>
      <c r="W937" s="2"/>
      <c r="X937" s="2"/>
      <c r="Y937" s="2"/>
      <c r="Z937" s="2"/>
    </row>
    <row r="938" spans="1:26" ht="15.75" customHeight="1" x14ac:dyDescent="0.3">
      <c r="A938" s="2"/>
      <c r="B938" s="2"/>
      <c r="C938" s="2"/>
      <c r="D938" s="2"/>
      <c r="E938" s="2"/>
      <c r="F938" s="2"/>
      <c r="G938" s="2"/>
      <c r="H938" s="2"/>
      <c r="I938" s="2"/>
      <c r="J938" s="2"/>
      <c r="K938" s="2"/>
      <c r="M938" s="2"/>
      <c r="N938" s="2"/>
      <c r="O938" s="2"/>
      <c r="P938" s="2"/>
      <c r="Q938" s="2"/>
      <c r="R938" s="2"/>
      <c r="S938" s="2"/>
      <c r="T938" s="2"/>
      <c r="U938" s="2"/>
      <c r="V938" s="2"/>
      <c r="W938" s="2"/>
      <c r="X938" s="2"/>
      <c r="Y938" s="2"/>
      <c r="Z938" s="2"/>
    </row>
    <row r="939" spans="1:26" ht="15.75" customHeight="1" x14ac:dyDescent="0.3">
      <c r="A939" s="2"/>
      <c r="B939" s="2"/>
      <c r="C939" s="2"/>
      <c r="D939" s="2"/>
      <c r="E939" s="2"/>
      <c r="F939" s="2"/>
      <c r="G939" s="2"/>
      <c r="H939" s="2"/>
      <c r="I939" s="2"/>
      <c r="J939" s="2"/>
      <c r="K939" s="2"/>
      <c r="M939" s="2"/>
      <c r="N939" s="2"/>
      <c r="O939" s="2"/>
      <c r="P939" s="2"/>
      <c r="Q939" s="2"/>
      <c r="R939" s="2"/>
      <c r="S939" s="2"/>
      <c r="T939" s="2"/>
      <c r="U939" s="2"/>
      <c r="V939" s="2"/>
      <c r="W939" s="2"/>
      <c r="X939" s="2"/>
      <c r="Y939" s="2"/>
      <c r="Z939" s="2"/>
    </row>
    <row r="940" spans="1:26" ht="15.75" customHeight="1" x14ac:dyDescent="0.3">
      <c r="A940" s="2"/>
      <c r="B940" s="2"/>
      <c r="C940" s="2"/>
      <c r="D940" s="2"/>
      <c r="E940" s="2"/>
      <c r="F940" s="2"/>
      <c r="G940" s="2"/>
      <c r="H940" s="2"/>
      <c r="I940" s="2"/>
      <c r="J940" s="2"/>
      <c r="K940" s="2"/>
      <c r="M940" s="2"/>
      <c r="N940" s="2"/>
      <c r="O940" s="2"/>
      <c r="P940" s="2"/>
      <c r="Q940" s="2"/>
      <c r="R940" s="2"/>
      <c r="S940" s="2"/>
      <c r="T940" s="2"/>
      <c r="U940" s="2"/>
      <c r="V940" s="2"/>
      <c r="W940" s="2"/>
      <c r="X940" s="2"/>
      <c r="Y940" s="2"/>
      <c r="Z940" s="2"/>
    </row>
    <row r="941" spans="1:26" ht="15.75" customHeight="1" x14ac:dyDescent="0.3">
      <c r="A941" s="2"/>
      <c r="B941" s="2"/>
      <c r="C941" s="2"/>
      <c r="D941" s="2"/>
      <c r="E941" s="2"/>
      <c r="F941" s="2"/>
      <c r="G941" s="2"/>
      <c r="H941" s="2"/>
      <c r="I941" s="2"/>
      <c r="J941" s="2"/>
      <c r="K941" s="2"/>
      <c r="M941" s="2"/>
      <c r="N941" s="2"/>
      <c r="O941" s="2"/>
      <c r="P941" s="2"/>
      <c r="Q941" s="2"/>
      <c r="R941" s="2"/>
      <c r="S941" s="2"/>
      <c r="T941" s="2"/>
      <c r="U941" s="2"/>
      <c r="V941" s="2"/>
      <c r="W941" s="2"/>
      <c r="X941" s="2"/>
      <c r="Y941" s="2"/>
      <c r="Z941" s="2"/>
    </row>
    <row r="942" spans="1:26" ht="15.75" customHeight="1" x14ac:dyDescent="0.3">
      <c r="A942" s="2"/>
      <c r="B942" s="2"/>
      <c r="C942" s="2"/>
      <c r="D942" s="2"/>
      <c r="E942" s="2"/>
      <c r="F942" s="2"/>
      <c r="G942" s="2"/>
      <c r="H942" s="2"/>
      <c r="I942" s="2"/>
      <c r="J942" s="2"/>
      <c r="K942" s="2"/>
      <c r="M942" s="2"/>
      <c r="N942" s="2"/>
      <c r="O942" s="2"/>
      <c r="P942" s="2"/>
      <c r="Q942" s="2"/>
      <c r="R942" s="2"/>
      <c r="S942" s="2"/>
      <c r="T942" s="2"/>
      <c r="U942" s="2"/>
      <c r="V942" s="2"/>
      <c r="W942" s="2"/>
      <c r="X942" s="2"/>
      <c r="Y942" s="2"/>
      <c r="Z942" s="2"/>
    </row>
    <row r="943" spans="1:26" ht="15.75" customHeight="1" x14ac:dyDescent="0.3">
      <c r="A943" s="2"/>
      <c r="B943" s="2"/>
      <c r="C943" s="2"/>
      <c r="D943" s="2"/>
      <c r="E943" s="2"/>
      <c r="F943" s="2"/>
      <c r="G943" s="2"/>
      <c r="H943" s="2"/>
      <c r="I943" s="2"/>
      <c r="J943" s="2"/>
      <c r="K943" s="2"/>
      <c r="M943" s="2"/>
      <c r="N943" s="2"/>
      <c r="O943" s="2"/>
      <c r="P943" s="2"/>
      <c r="Q943" s="2"/>
      <c r="R943" s="2"/>
      <c r="S943" s="2"/>
      <c r="T943" s="2"/>
      <c r="U943" s="2"/>
      <c r="V943" s="2"/>
      <c r="W943" s="2"/>
      <c r="X943" s="2"/>
      <c r="Y943" s="2"/>
      <c r="Z943" s="2"/>
    </row>
    <row r="944" spans="1:26" ht="15.75" customHeight="1" x14ac:dyDescent="0.3">
      <c r="A944" s="2"/>
      <c r="B944" s="2"/>
      <c r="C944" s="2"/>
      <c r="D944" s="2"/>
      <c r="E944" s="2"/>
      <c r="F944" s="2"/>
      <c r="G944" s="2"/>
      <c r="H944" s="2"/>
      <c r="I944" s="2"/>
      <c r="J944" s="2"/>
      <c r="K944" s="2"/>
      <c r="M944" s="2"/>
      <c r="N944" s="2"/>
      <c r="O944" s="2"/>
      <c r="P944" s="2"/>
      <c r="Q944" s="2"/>
      <c r="R944" s="2"/>
      <c r="S944" s="2"/>
      <c r="T944" s="2"/>
      <c r="U944" s="2"/>
      <c r="V944" s="2"/>
      <c r="W944" s="2"/>
      <c r="X944" s="2"/>
      <c r="Y944" s="2"/>
      <c r="Z944" s="2"/>
    </row>
    <row r="945" spans="1:26" ht="15.75" customHeight="1" x14ac:dyDescent="0.3">
      <c r="A945" s="2"/>
      <c r="B945" s="2"/>
      <c r="C945" s="2"/>
      <c r="D945" s="2"/>
      <c r="E945" s="2"/>
      <c r="F945" s="2"/>
      <c r="G945" s="2"/>
      <c r="H945" s="2"/>
      <c r="I945" s="2"/>
      <c r="J945" s="2"/>
      <c r="K945" s="2"/>
      <c r="M945" s="2"/>
      <c r="N945" s="2"/>
      <c r="O945" s="2"/>
      <c r="P945" s="2"/>
      <c r="Q945" s="2"/>
      <c r="R945" s="2"/>
      <c r="S945" s="2"/>
      <c r="T945" s="2"/>
      <c r="U945" s="2"/>
      <c r="V945" s="2"/>
      <c r="W945" s="2"/>
      <c r="X945" s="2"/>
      <c r="Y945" s="2"/>
      <c r="Z945" s="2"/>
    </row>
    <row r="946" spans="1:26" ht="15.75" customHeight="1" x14ac:dyDescent="0.3">
      <c r="A946" s="2"/>
      <c r="B946" s="2"/>
      <c r="C946" s="2"/>
      <c r="D946" s="2"/>
      <c r="E946" s="2"/>
      <c r="F946" s="2"/>
      <c r="G946" s="2"/>
      <c r="H946" s="2"/>
      <c r="I946" s="2"/>
      <c r="J946" s="2"/>
      <c r="K946" s="2"/>
      <c r="M946" s="2"/>
      <c r="N946" s="2"/>
      <c r="O946" s="2"/>
      <c r="P946" s="2"/>
      <c r="Q946" s="2"/>
      <c r="R946" s="2"/>
      <c r="S946" s="2"/>
      <c r="T946" s="2"/>
      <c r="U946" s="2"/>
      <c r="V946" s="2"/>
      <c r="W946" s="2"/>
      <c r="X946" s="2"/>
      <c r="Y946" s="2"/>
      <c r="Z946" s="2"/>
    </row>
    <row r="947" spans="1:26" ht="15.75" customHeight="1" x14ac:dyDescent="0.3">
      <c r="A947" s="2"/>
      <c r="B947" s="2"/>
      <c r="C947" s="2"/>
      <c r="D947" s="2"/>
      <c r="E947" s="2"/>
      <c r="F947" s="2"/>
      <c r="G947" s="2"/>
      <c r="H947" s="2"/>
      <c r="I947" s="2"/>
      <c r="J947" s="2"/>
      <c r="K947" s="2"/>
      <c r="M947" s="2"/>
      <c r="N947" s="2"/>
      <c r="O947" s="2"/>
      <c r="P947" s="2"/>
      <c r="Q947" s="2"/>
      <c r="R947" s="2"/>
      <c r="S947" s="2"/>
      <c r="T947" s="2"/>
      <c r="U947" s="2"/>
      <c r="V947" s="2"/>
      <c r="W947" s="2"/>
      <c r="X947" s="2"/>
      <c r="Y947" s="2"/>
      <c r="Z947" s="2"/>
    </row>
    <row r="948" spans="1:26" ht="15.75" customHeight="1" x14ac:dyDescent="0.3">
      <c r="A948" s="2"/>
      <c r="B948" s="2"/>
      <c r="C948" s="2"/>
      <c r="D948" s="2"/>
      <c r="E948" s="2"/>
      <c r="F948" s="2"/>
      <c r="G948" s="2"/>
      <c r="H948" s="2"/>
      <c r="I948" s="2"/>
      <c r="J948" s="2"/>
      <c r="K948" s="2"/>
      <c r="M948" s="2"/>
      <c r="N948" s="2"/>
      <c r="O948" s="2"/>
      <c r="P948" s="2"/>
      <c r="Q948" s="2"/>
      <c r="R948" s="2"/>
      <c r="S948" s="2"/>
      <c r="T948" s="2"/>
      <c r="U948" s="2"/>
      <c r="V948" s="2"/>
      <c r="W948" s="2"/>
      <c r="X948" s="2"/>
      <c r="Y948" s="2"/>
      <c r="Z948" s="2"/>
    </row>
    <row r="949" spans="1:26" ht="15.75" customHeight="1" x14ac:dyDescent="0.3">
      <c r="A949" s="2"/>
      <c r="B949" s="2"/>
      <c r="C949" s="2"/>
      <c r="D949" s="2"/>
      <c r="E949" s="2"/>
      <c r="F949" s="2"/>
      <c r="G949" s="2"/>
      <c r="H949" s="2"/>
      <c r="I949" s="2"/>
      <c r="J949" s="2"/>
      <c r="K949" s="2"/>
      <c r="M949" s="2"/>
      <c r="N949" s="2"/>
      <c r="O949" s="2"/>
      <c r="P949" s="2"/>
      <c r="Q949" s="2"/>
      <c r="R949" s="2"/>
      <c r="S949" s="2"/>
      <c r="T949" s="2"/>
      <c r="U949" s="2"/>
      <c r="V949" s="2"/>
      <c r="W949" s="2"/>
      <c r="X949" s="2"/>
      <c r="Y949" s="2"/>
      <c r="Z949" s="2"/>
    </row>
    <row r="950" spans="1:26" ht="15.75" customHeight="1" x14ac:dyDescent="0.3">
      <c r="A950" s="2"/>
      <c r="B950" s="2"/>
      <c r="C950" s="2"/>
      <c r="D950" s="2"/>
      <c r="E950" s="2"/>
      <c r="F950" s="2"/>
      <c r="G950" s="2"/>
      <c r="H950" s="2"/>
      <c r="I950" s="2"/>
      <c r="J950" s="2"/>
      <c r="K950" s="2"/>
      <c r="M950" s="2"/>
      <c r="N950" s="2"/>
      <c r="O950" s="2"/>
      <c r="P950" s="2"/>
      <c r="Q950" s="2"/>
      <c r="R950" s="2"/>
      <c r="S950" s="2"/>
      <c r="T950" s="2"/>
      <c r="U950" s="2"/>
      <c r="V950" s="2"/>
      <c r="W950" s="2"/>
      <c r="X950" s="2"/>
      <c r="Y950" s="2"/>
      <c r="Z950" s="2"/>
    </row>
    <row r="951" spans="1:26" ht="15.75" customHeight="1" x14ac:dyDescent="0.3">
      <c r="A951" s="2"/>
      <c r="B951" s="2"/>
      <c r="C951" s="2"/>
      <c r="D951" s="2"/>
      <c r="E951" s="2"/>
      <c r="F951" s="2"/>
      <c r="G951" s="2"/>
      <c r="H951" s="2"/>
      <c r="I951" s="2"/>
      <c r="J951" s="2"/>
      <c r="K951" s="2"/>
      <c r="M951" s="2"/>
      <c r="N951" s="2"/>
      <c r="O951" s="2"/>
      <c r="P951" s="2"/>
      <c r="Q951" s="2"/>
      <c r="R951" s="2"/>
      <c r="S951" s="2"/>
      <c r="T951" s="2"/>
      <c r="U951" s="2"/>
      <c r="V951" s="2"/>
      <c r="W951" s="2"/>
      <c r="X951" s="2"/>
      <c r="Y951" s="2"/>
      <c r="Z951" s="2"/>
    </row>
    <row r="952" spans="1:26" ht="15.75" customHeight="1" x14ac:dyDescent="0.3">
      <c r="A952" s="2"/>
      <c r="B952" s="2"/>
      <c r="C952" s="2"/>
      <c r="D952" s="2"/>
      <c r="E952" s="2"/>
      <c r="F952" s="2"/>
      <c r="G952" s="2"/>
      <c r="H952" s="2"/>
      <c r="I952" s="2"/>
      <c r="J952" s="2"/>
      <c r="K952" s="2"/>
      <c r="M952" s="2"/>
      <c r="N952" s="2"/>
      <c r="O952" s="2"/>
      <c r="P952" s="2"/>
      <c r="Q952" s="2"/>
      <c r="R952" s="2"/>
      <c r="S952" s="2"/>
      <c r="T952" s="2"/>
      <c r="U952" s="2"/>
      <c r="V952" s="2"/>
      <c r="W952" s="2"/>
      <c r="X952" s="2"/>
      <c r="Y952" s="2"/>
      <c r="Z952" s="2"/>
    </row>
    <row r="953" spans="1:26" ht="15.75" customHeight="1" x14ac:dyDescent="0.3">
      <c r="A953" s="2"/>
      <c r="B953" s="2"/>
      <c r="C953" s="2"/>
      <c r="D953" s="2"/>
      <c r="E953" s="2"/>
      <c r="F953" s="2"/>
      <c r="G953" s="2"/>
      <c r="H953" s="2"/>
      <c r="I953" s="2"/>
      <c r="J953" s="2"/>
      <c r="K953" s="2"/>
      <c r="M953" s="2"/>
      <c r="N953" s="2"/>
      <c r="O953" s="2"/>
      <c r="P953" s="2"/>
      <c r="Q953" s="2"/>
      <c r="R953" s="2"/>
      <c r="S953" s="2"/>
      <c r="T953" s="2"/>
      <c r="U953" s="2"/>
      <c r="V953" s="2"/>
      <c r="W953" s="2"/>
      <c r="X953" s="2"/>
      <c r="Y953" s="2"/>
      <c r="Z953" s="2"/>
    </row>
    <row r="954" spans="1:26" ht="15.75" customHeight="1" x14ac:dyDescent="0.3">
      <c r="A954" s="2"/>
      <c r="B954" s="2"/>
      <c r="C954" s="2"/>
      <c r="D954" s="2"/>
      <c r="E954" s="2"/>
      <c r="F954" s="2"/>
      <c r="G954" s="2"/>
      <c r="H954" s="2"/>
      <c r="I954" s="2"/>
      <c r="J954" s="2"/>
      <c r="K954" s="2"/>
      <c r="M954" s="2"/>
      <c r="N954" s="2"/>
      <c r="O954" s="2"/>
      <c r="P954" s="2"/>
      <c r="Q954" s="2"/>
      <c r="R954" s="2"/>
      <c r="S954" s="2"/>
      <c r="T954" s="2"/>
      <c r="U954" s="2"/>
      <c r="V954" s="2"/>
      <c r="W954" s="2"/>
      <c r="X954" s="2"/>
      <c r="Y954" s="2"/>
      <c r="Z954" s="2"/>
    </row>
    <row r="955" spans="1:26" ht="15.75" customHeight="1" x14ac:dyDescent="0.3">
      <c r="A955" s="2"/>
      <c r="B955" s="2"/>
      <c r="C955" s="2"/>
      <c r="D955" s="2"/>
      <c r="E955" s="2"/>
      <c r="F955" s="2"/>
      <c r="G955" s="2"/>
      <c r="H955" s="2"/>
      <c r="I955" s="2"/>
      <c r="J955" s="2"/>
      <c r="K955" s="2"/>
      <c r="M955" s="2"/>
      <c r="N955" s="2"/>
      <c r="O955" s="2"/>
      <c r="P955" s="2"/>
      <c r="Q955" s="2"/>
      <c r="R955" s="2"/>
      <c r="S955" s="2"/>
      <c r="T955" s="2"/>
      <c r="U955" s="2"/>
      <c r="V955" s="2"/>
      <c r="W955" s="2"/>
      <c r="X955" s="2"/>
      <c r="Y955" s="2"/>
      <c r="Z955" s="2"/>
    </row>
    <row r="956" spans="1:26" ht="15.75" customHeight="1" x14ac:dyDescent="0.3">
      <c r="A956" s="2"/>
      <c r="B956" s="2"/>
      <c r="C956" s="2"/>
      <c r="D956" s="2"/>
      <c r="E956" s="2"/>
      <c r="F956" s="2"/>
      <c r="G956" s="2"/>
      <c r="H956" s="2"/>
      <c r="I956" s="2"/>
      <c r="J956" s="2"/>
      <c r="K956" s="2"/>
      <c r="M956" s="2"/>
      <c r="N956" s="2"/>
      <c r="O956" s="2"/>
      <c r="P956" s="2"/>
      <c r="Q956" s="2"/>
      <c r="R956" s="2"/>
      <c r="S956" s="2"/>
      <c r="T956" s="2"/>
      <c r="U956" s="2"/>
      <c r="V956" s="2"/>
      <c r="W956" s="2"/>
      <c r="X956" s="2"/>
      <c r="Y956" s="2"/>
      <c r="Z956" s="2"/>
    </row>
    <row r="957" spans="1:26" ht="15.75" customHeight="1" x14ac:dyDescent="0.3">
      <c r="A957" s="2"/>
      <c r="B957" s="2"/>
      <c r="C957" s="2"/>
      <c r="D957" s="2"/>
      <c r="E957" s="2"/>
      <c r="F957" s="2"/>
      <c r="G957" s="2"/>
      <c r="H957" s="2"/>
      <c r="I957" s="2"/>
      <c r="J957" s="2"/>
      <c r="K957" s="2"/>
      <c r="M957" s="2"/>
      <c r="N957" s="2"/>
      <c r="O957" s="2"/>
      <c r="P957" s="2"/>
      <c r="Q957" s="2"/>
      <c r="R957" s="2"/>
      <c r="S957" s="2"/>
      <c r="T957" s="2"/>
      <c r="U957" s="2"/>
      <c r="V957" s="2"/>
      <c r="W957" s="2"/>
      <c r="X957" s="2"/>
      <c r="Y957" s="2"/>
      <c r="Z957" s="2"/>
    </row>
    <row r="958" spans="1:26" ht="15.75" customHeight="1" x14ac:dyDescent="0.3">
      <c r="A958" s="2"/>
      <c r="B958" s="2"/>
      <c r="C958" s="2"/>
      <c r="D958" s="2"/>
      <c r="E958" s="2"/>
      <c r="F958" s="2"/>
      <c r="G958" s="2"/>
      <c r="H958" s="2"/>
      <c r="I958" s="2"/>
      <c r="J958" s="2"/>
      <c r="K958" s="2"/>
      <c r="M958" s="2"/>
      <c r="N958" s="2"/>
      <c r="O958" s="2"/>
      <c r="P958" s="2"/>
      <c r="Q958" s="2"/>
      <c r="R958" s="2"/>
      <c r="S958" s="2"/>
      <c r="T958" s="2"/>
      <c r="U958" s="2"/>
      <c r="V958" s="2"/>
      <c r="W958" s="2"/>
      <c r="X958" s="2"/>
      <c r="Y958" s="2"/>
      <c r="Z958" s="2"/>
    </row>
    <row r="959" spans="1:26" ht="15.75" customHeight="1" x14ac:dyDescent="0.3">
      <c r="A959" s="2"/>
      <c r="B959" s="2"/>
      <c r="C959" s="2"/>
      <c r="D959" s="2"/>
      <c r="E959" s="2"/>
      <c r="F959" s="2"/>
      <c r="G959" s="2"/>
      <c r="H959" s="2"/>
      <c r="I959" s="2"/>
      <c r="J959" s="2"/>
      <c r="K959" s="2"/>
      <c r="M959" s="2"/>
      <c r="N959" s="2"/>
      <c r="O959" s="2"/>
      <c r="P959" s="2"/>
      <c r="Q959" s="2"/>
      <c r="R959" s="2"/>
      <c r="S959" s="2"/>
      <c r="T959" s="2"/>
      <c r="U959" s="2"/>
      <c r="V959" s="2"/>
      <c r="W959" s="2"/>
      <c r="X959" s="2"/>
      <c r="Y959" s="2"/>
      <c r="Z959" s="2"/>
    </row>
    <row r="960" spans="1:26" ht="15.75" customHeight="1" x14ac:dyDescent="0.3">
      <c r="A960" s="2"/>
      <c r="B960" s="2"/>
      <c r="C960" s="2"/>
      <c r="D960" s="2"/>
      <c r="E960" s="2"/>
      <c r="F960" s="2"/>
      <c r="G960" s="2"/>
      <c r="H960" s="2"/>
      <c r="I960" s="2"/>
      <c r="J960" s="2"/>
      <c r="K960" s="2"/>
      <c r="M960" s="2"/>
      <c r="N960" s="2"/>
      <c r="O960" s="2"/>
      <c r="P960" s="2"/>
      <c r="Q960" s="2"/>
      <c r="R960" s="2"/>
      <c r="S960" s="2"/>
      <c r="T960" s="2"/>
      <c r="U960" s="2"/>
      <c r="V960" s="2"/>
      <c r="W960" s="2"/>
      <c r="X960" s="2"/>
      <c r="Y960" s="2"/>
      <c r="Z960" s="2"/>
    </row>
    <row r="961" spans="1:26" ht="15.75" customHeight="1" x14ac:dyDescent="0.3">
      <c r="A961" s="2"/>
      <c r="B961" s="2"/>
      <c r="C961" s="2"/>
      <c r="D961" s="2"/>
      <c r="E961" s="2"/>
      <c r="F961" s="2"/>
      <c r="G961" s="2"/>
      <c r="H961" s="2"/>
      <c r="I961" s="2"/>
      <c r="J961" s="2"/>
      <c r="K961" s="2"/>
      <c r="M961" s="2"/>
      <c r="N961" s="2"/>
      <c r="O961" s="2"/>
      <c r="P961" s="2"/>
      <c r="Q961" s="2"/>
      <c r="R961" s="2"/>
      <c r="S961" s="2"/>
      <c r="T961" s="2"/>
      <c r="U961" s="2"/>
      <c r="V961" s="2"/>
      <c r="W961" s="2"/>
      <c r="X961" s="2"/>
      <c r="Y961" s="2"/>
      <c r="Z961" s="2"/>
    </row>
    <row r="962" spans="1:26" ht="15.75" customHeight="1" x14ac:dyDescent="0.3">
      <c r="A962" s="2"/>
      <c r="B962" s="2"/>
      <c r="C962" s="2"/>
      <c r="D962" s="2"/>
      <c r="E962" s="2"/>
      <c r="F962" s="2"/>
      <c r="G962" s="2"/>
      <c r="H962" s="2"/>
      <c r="I962" s="2"/>
      <c r="J962" s="2"/>
      <c r="K962" s="2"/>
      <c r="M962" s="2"/>
      <c r="N962" s="2"/>
      <c r="O962" s="2"/>
      <c r="P962" s="2"/>
      <c r="Q962" s="2"/>
      <c r="R962" s="2"/>
      <c r="S962" s="2"/>
      <c r="T962" s="2"/>
      <c r="U962" s="2"/>
      <c r="V962" s="2"/>
      <c r="W962" s="2"/>
      <c r="X962" s="2"/>
      <c r="Y962" s="2"/>
      <c r="Z962" s="2"/>
    </row>
    <row r="963" spans="1:26" ht="15.75" customHeight="1" x14ac:dyDescent="0.3">
      <c r="A963" s="2"/>
      <c r="B963" s="2"/>
      <c r="C963" s="2"/>
      <c r="D963" s="2"/>
      <c r="E963" s="2"/>
      <c r="F963" s="2"/>
      <c r="G963" s="2"/>
      <c r="H963" s="2"/>
      <c r="I963" s="2"/>
      <c r="J963" s="2"/>
      <c r="K963" s="2"/>
      <c r="M963" s="2"/>
      <c r="N963" s="2"/>
      <c r="O963" s="2"/>
      <c r="P963" s="2"/>
      <c r="Q963" s="2"/>
      <c r="R963" s="2"/>
      <c r="S963" s="2"/>
      <c r="T963" s="2"/>
      <c r="U963" s="2"/>
      <c r="V963" s="2"/>
      <c r="W963" s="2"/>
      <c r="X963" s="2"/>
      <c r="Y963" s="2"/>
      <c r="Z963" s="2"/>
    </row>
    <row r="964" spans="1:26" ht="15.75" customHeight="1" x14ac:dyDescent="0.3">
      <c r="A964" s="2"/>
      <c r="B964" s="2"/>
      <c r="C964" s="2"/>
      <c r="D964" s="2"/>
      <c r="E964" s="2"/>
      <c r="F964" s="2"/>
      <c r="G964" s="2"/>
      <c r="H964" s="2"/>
      <c r="I964" s="2"/>
      <c r="J964" s="2"/>
      <c r="K964" s="2"/>
      <c r="M964" s="2"/>
      <c r="N964" s="2"/>
      <c r="O964" s="2"/>
      <c r="P964" s="2"/>
      <c r="Q964" s="2"/>
      <c r="R964" s="2"/>
      <c r="S964" s="2"/>
      <c r="T964" s="2"/>
      <c r="U964" s="2"/>
      <c r="V964" s="2"/>
      <c r="W964" s="2"/>
      <c r="X964" s="2"/>
      <c r="Y964" s="2"/>
      <c r="Z964" s="2"/>
    </row>
    <row r="965" spans="1:26" ht="15.75" customHeight="1" x14ac:dyDescent="0.3">
      <c r="A965" s="2"/>
      <c r="B965" s="2"/>
      <c r="C965" s="2"/>
      <c r="D965" s="2"/>
      <c r="E965" s="2"/>
      <c r="F965" s="2"/>
      <c r="G965" s="2"/>
      <c r="H965" s="2"/>
      <c r="I965" s="2"/>
      <c r="J965" s="2"/>
      <c r="K965" s="2"/>
      <c r="M965" s="2"/>
      <c r="N965" s="2"/>
      <c r="O965" s="2"/>
      <c r="P965" s="2"/>
      <c r="Q965" s="2"/>
      <c r="R965" s="2"/>
      <c r="S965" s="2"/>
      <c r="T965" s="2"/>
      <c r="U965" s="2"/>
      <c r="V965" s="2"/>
      <c r="W965" s="2"/>
      <c r="X965" s="2"/>
      <c r="Y965" s="2"/>
      <c r="Z965" s="2"/>
    </row>
    <row r="966" spans="1:26" ht="15.75" customHeight="1" x14ac:dyDescent="0.3">
      <c r="A966" s="2"/>
      <c r="B966" s="2"/>
      <c r="C966" s="2"/>
      <c r="D966" s="2"/>
      <c r="E966" s="2"/>
      <c r="F966" s="2"/>
      <c r="G966" s="2"/>
      <c r="H966" s="2"/>
      <c r="I966" s="2"/>
      <c r="J966" s="2"/>
      <c r="K966" s="2"/>
      <c r="M966" s="2"/>
      <c r="N966" s="2"/>
      <c r="O966" s="2"/>
      <c r="P966" s="2"/>
      <c r="Q966" s="2"/>
      <c r="R966" s="2"/>
      <c r="S966" s="2"/>
      <c r="T966" s="2"/>
      <c r="U966" s="2"/>
      <c r="V966" s="2"/>
      <c r="W966" s="2"/>
      <c r="X966" s="2"/>
      <c r="Y966" s="2"/>
      <c r="Z966" s="2"/>
    </row>
    <row r="967" spans="1:26" ht="15.75" customHeight="1" x14ac:dyDescent="0.3">
      <c r="A967" s="2"/>
      <c r="B967" s="2"/>
      <c r="C967" s="2"/>
      <c r="D967" s="2"/>
      <c r="E967" s="2"/>
      <c r="F967" s="2"/>
      <c r="G967" s="2"/>
      <c r="H967" s="2"/>
      <c r="I967" s="2"/>
      <c r="J967" s="2"/>
      <c r="K967" s="2"/>
      <c r="M967" s="2"/>
      <c r="N967" s="2"/>
      <c r="O967" s="2"/>
      <c r="P967" s="2"/>
      <c r="Q967" s="2"/>
      <c r="R967" s="2"/>
      <c r="S967" s="2"/>
      <c r="T967" s="2"/>
      <c r="U967" s="2"/>
      <c r="V967" s="2"/>
      <c r="W967" s="2"/>
      <c r="X967" s="2"/>
      <c r="Y967" s="2"/>
      <c r="Z967" s="2"/>
    </row>
    <row r="968" spans="1:26" ht="15.75" customHeight="1" x14ac:dyDescent="0.3">
      <c r="A968" s="2"/>
      <c r="B968" s="2"/>
      <c r="C968" s="2"/>
      <c r="D968" s="2"/>
      <c r="E968" s="2"/>
      <c r="F968" s="2"/>
      <c r="G968" s="2"/>
      <c r="H968" s="2"/>
      <c r="I968" s="2"/>
      <c r="J968" s="2"/>
      <c r="K968" s="2"/>
      <c r="M968" s="2"/>
      <c r="N968" s="2"/>
      <c r="O968" s="2"/>
      <c r="P968" s="2"/>
      <c r="Q968" s="2"/>
      <c r="R968" s="2"/>
      <c r="S968" s="2"/>
      <c r="T968" s="2"/>
      <c r="U968" s="2"/>
      <c r="V968" s="2"/>
      <c r="W968" s="2"/>
      <c r="X968" s="2"/>
      <c r="Y968" s="2"/>
      <c r="Z968" s="2"/>
    </row>
    <row r="969" spans="1:26" ht="15.75" customHeight="1" x14ac:dyDescent="0.3">
      <c r="A969" s="2"/>
      <c r="B969" s="2"/>
      <c r="C969" s="2"/>
      <c r="D969" s="2"/>
      <c r="E969" s="2"/>
      <c r="F969" s="2"/>
      <c r="G969" s="2"/>
      <c r="H969" s="2"/>
      <c r="I969" s="2"/>
      <c r="J969" s="2"/>
      <c r="K969" s="2"/>
      <c r="M969" s="2"/>
      <c r="N969" s="2"/>
      <c r="O969" s="2"/>
      <c r="P969" s="2"/>
      <c r="Q969" s="2"/>
      <c r="R969" s="2"/>
      <c r="S969" s="2"/>
      <c r="T969" s="2"/>
      <c r="U969" s="2"/>
      <c r="V969" s="2"/>
      <c r="W969" s="2"/>
      <c r="X969" s="2"/>
      <c r="Y969" s="2"/>
      <c r="Z969" s="2"/>
    </row>
    <row r="970" spans="1:26" ht="15.75" customHeight="1" x14ac:dyDescent="0.3">
      <c r="A970" s="2"/>
      <c r="B970" s="2"/>
      <c r="C970" s="2"/>
      <c r="D970" s="2"/>
      <c r="E970" s="2"/>
      <c r="F970" s="2"/>
      <c r="G970" s="2"/>
      <c r="H970" s="2"/>
      <c r="I970" s="2"/>
      <c r="J970" s="2"/>
      <c r="K970" s="2"/>
      <c r="M970" s="2"/>
      <c r="N970" s="2"/>
      <c r="O970" s="2"/>
      <c r="P970" s="2"/>
      <c r="Q970" s="2"/>
      <c r="R970" s="2"/>
      <c r="S970" s="2"/>
      <c r="T970" s="2"/>
      <c r="U970" s="2"/>
      <c r="V970" s="2"/>
      <c r="W970" s="2"/>
      <c r="X970" s="2"/>
      <c r="Y970" s="2"/>
      <c r="Z970" s="2"/>
    </row>
    <row r="971" spans="1:26" ht="15.75" customHeight="1" x14ac:dyDescent="0.3">
      <c r="A971" s="2"/>
      <c r="B971" s="2"/>
      <c r="C971" s="2"/>
      <c r="D971" s="2"/>
      <c r="E971" s="2"/>
      <c r="F971" s="2"/>
      <c r="G971" s="2"/>
      <c r="H971" s="2"/>
      <c r="I971" s="2"/>
      <c r="J971" s="2"/>
      <c r="K971" s="2"/>
      <c r="M971" s="2"/>
      <c r="N971" s="2"/>
      <c r="O971" s="2"/>
      <c r="P971" s="2"/>
      <c r="Q971" s="2"/>
      <c r="R971" s="2"/>
      <c r="S971" s="2"/>
      <c r="T971" s="2"/>
      <c r="U971" s="2"/>
      <c r="V971" s="2"/>
      <c r="W971" s="2"/>
      <c r="X971" s="2"/>
      <c r="Y971" s="2"/>
      <c r="Z971" s="2"/>
    </row>
    <row r="972" spans="1:26" ht="15.75" customHeight="1" x14ac:dyDescent="0.3">
      <c r="A972" s="2"/>
      <c r="B972" s="2"/>
      <c r="C972" s="2"/>
      <c r="D972" s="2"/>
      <c r="E972" s="2"/>
      <c r="F972" s="2"/>
      <c r="G972" s="2"/>
      <c r="H972" s="2"/>
      <c r="I972" s="2"/>
      <c r="J972" s="2"/>
      <c r="K972" s="2"/>
      <c r="M972" s="2"/>
      <c r="N972" s="2"/>
      <c r="O972" s="2"/>
      <c r="P972" s="2"/>
      <c r="Q972" s="2"/>
      <c r="R972" s="2"/>
      <c r="S972" s="2"/>
      <c r="T972" s="2"/>
      <c r="U972" s="2"/>
      <c r="V972" s="2"/>
      <c r="W972" s="2"/>
      <c r="X972" s="2"/>
      <c r="Y972" s="2"/>
      <c r="Z972" s="2"/>
    </row>
    <row r="973" spans="1:26" ht="15.75" customHeight="1" x14ac:dyDescent="0.3">
      <c r="A973" s="2"/>
      <c r="B973" s="2"/>
      <c r="C973" s="2"/>
      <c r="D973" s="2"/>
      <c r="E973" s="2"/>
      <c r="F973" s="2"/>
      <c r="G973" s="2"/>
      <c r="H973" s="2"/>
      <c r="I973" s="2"/>
      <c r="J973" s="2"/>
      <c r="K973" s="2"/>
      <c r="M973" s="2"/>
      <c r="N973" s="2"/>
      <c r="O973" s="2"/>
      <c r="P973" s="2"/>
      <c r="Q973" s="2"/>
      <c r="R973" s="2"/>
      <c r="S973" s="2"/>
      <c r="T973" s="2"/>
      <c r="U973" s="2"/>
      <c r="V973" s="2"/>
      <c r="W973" s="2"/>
      <c r="X973" s="2"/>
      <c r="Y973" s="2"/>
      <c r="Z973" s="2"/>
    </row>
    <row r="974" spans="1:26" ht="15.75" customHeight="1" x14ac:dyDescent="0.3">
      <c r="A974" s="2"/>
      <c r="B974" s="2"/>
      <c r="C974" s="2"/>
      <c r="D974" s="2"/>
      <c r="E974" s="2"/>
      <c r="F974" s="2"/>
      <c r="G974" s="2"/>
      <c r="H974" s="2"/>
      <c r="I974" s="2"/>
      <c r="J974" s="2"/>
      <c r="K974" s="2"/>
      <c r="M974" s="2"/>
      <c r="N974" s="2"/>
      <c r="O974" s="2"/>
      <c r="P974" s="2"/>
      <c r="Q974" s="2"/>
      <c r="R974" s="2"/>
      <c r="S974" s="2"/>
      <c r="T974" s="2"/>
      <c r="U974" s="2"/>
      <c r="V974" s="2"/>
      <c r="W974" s="2"/>
      <c r="X974" s="2"/>
      <c r="Y974" s="2"/>
      <c r="Z974" s="2"/>
    </row>
    <row r="975" spans="1:26" ht="15.75" customHeight="1" x14ac:dyDescent="0.3">
      <c r="A975" s="2"/>
      <c r="B975" s="2"/>
      <c r="C975" s="2"/>
      <c r="D975" s="2"/>
      <c r="E975" s="2"/>
      <c r="F975" s="2"/>
      <c r="G975" s="2"/>
      <c r="H975" s="2"/>
      <c r="I975" s="2"/>
      <c r="J975" s="2"/>
      <c r="K975" s="2"/>
      <c r="M975" s="2"/>
      <c r="N975" s="2"/>
      <c r="O975" s="2"/>
      <c r="P975" s="2"/>
      <c r="Q975" s="2"/>
      <c r="R975" s="2"/>
      <c r="S975" s="2"/>
      <c r="T975" s="2"/>
      <c r="U975" s="2"/>
      <c r="V975" s="2"/>
      <c r="W975" s="2"/>
      <c r="X975" s="2"/>
      <c r="Y975" s="2"/>
      <c r="Z975" s="2"/>
    </row>
    <row r="976" spans="1:26" ht="15.75" customHeight="1" x14ac:dyDescent="0.3">
      <c r="A976" s="2"/>
      <c r="B976" s="2"/>
      <c r="C976" s="2"/>
      <c r="D976" s="2"/>
      <c r="E976" s="2"/>
      <c r="F976" s="2"/>
      <c r="G976" s="2"/>
      <c r="H976" s="2"/>
      <c r="I976" s="2"/>
      <c r="J976" s="2"/>
      <c r="K976" s="2"/>
      <c r="M976" s="2"/>
      <c r="N976" s="2"/>
      <c r="O976" s="2"/>
      <c r="P976" s="2"/>
      <c r="Q976" s="2"/>
      <c r="R976" s="2"/>
      <c r="S976" s="2"/>
      <c r="T976" s="2"/>
      <c r="U976" s="2"/>
      <c r="V976" s="2"/>
      <c r="W976" s="2"/>
      <c r="X976" s="2"/>
      <c r="Y976" s="2"/>
      <c r="Z976" s="2"/>
    </row>
    <row r="977" spans="1:26" ht="15.75" customHeight="1" x14ac:dyDescent="0.3">
      <c r="A977" s="2"/>
      <c r="B977" s="2"/>
      <c r="C977" s="2"/>
      <c r="D977" s="2"/>
      <c r="E977" s="2"/>
      <c r="F977" s="2"/>
      <c r="G977" s="2"/>
      <c r="H977" s="2"/>
      <c r="I977" s="2"/>
      <c r="J977" s="2"/>
      <c r="K977" s="2"/>
      <c r="M977" s="2"/>
      <c r="N977" s="2"/>
      <c r="O977" s="2"/>
      <c r="P977" s="2"/>
      <c r="Q977" s="2"/>
      <c r="R977" s="2"/>
      <c r="S977" s="2"/>
      <c r="T977" s="2"/>
      <c r="U977" s="2"/>
      <c r="V977" s="2"/>
      <c r="W977" s="2"/>
      <c r="X977" s="2"/>
      <c r="Y977" s="2"/>
      <c r="Z977" s="2"/>
    </row>
    <row r="978" spans="1:26" ht="15.75" customHeight="1" x14ac:dyDescent="0.3">
      <c r="A978" s="2"/>
      <c r="B978" s="2"/>
      <c r="C978" s="2"/>
      <c r="D978" s="2"/>
      <c r="E978" s="2"/>
      <c r="F978" s="2"/>
      <c r="G978" s="2"/>
      <c r="H978" s="2"/>
      <c r="I978" s="2"/>
      <c r="J978" s="2"/>
      <c r="K978" s="2"/>
      <c r="M978" s="2"/>
      <c r="N978" s="2"/>
      <c r="O978" s="2"/>
      <c r="P978" s="2"/>
      <c r="Q978" s="2"/>
      <c r="R978" s="2"/>
      <c r="S978" s="2"/>
      <c r="T978" s="2"/>
      <c r="U978" s="2"/>
      <c r="V978" s="2"/>
      <c r="W978" s="2"/>
      <c r="X978" s="2"/>
      <c r="Y978" s="2"/>
      <c r="Z978" s="2"/>
    </row>
    <row r="979" spans="1:26" ht="15.75" customHeight="1" x14ac:dyDescent="0.3">
      <c r="A979" s="2"/>
      <c r="B979" s="2"/>
      <c r="C979" s="2"/>
      <c r="D979" s="2"/>
      <c r="E979" s="2"/>
      <c r="F979" s="2"/>
      <c r="G979" s="2"/>
      <c r="H979" s="2"/>
      <c r="I979" s="2"/>
      <c r="J979" s="2"/>
      <c r="K979" s="2"/>
      <c r="M979" s="2"/>
      <c r="N979" s="2"/>
      <c r="O979" s="2"/>
      <c r="P979" s="2"/>
      <c r="Q979" s="2"/>
      <c r="R979" s="2"/>
      <c r="S979" s="2"/>
      <c r="T979" s="2"/>
      <c r="U979" s="2"/>
      <c r="V979" s="2"/>
      <c r="W979" s="2"/>
      <c r="X979" s="2"/>
      <c r="Y979" s="2"/>
      <c r="Z979" s="2"/>
    </row>
    <row r="980" spans="1:26" ht="15.75" customHeight="1" x14ac:dyDescent="0.3">
      <c r="A980" s="2"/>
      <c r="B980" s="2"/>
      <c r="C980" s="2"/>
      <c r="D980" s="2"/>
      <c r="E980" s="2"/>
      <c r="F980" s="2"/>
      <c r="G980" s="2"/>
      <c r="H980" s="2"/>
      <c r="I980" s="2"/>
      <c r="J980" s="2"/>
      <c r="K980" s="2"/>
      <c r="M980" s="2"/>
      <c r="N980" s="2"/>
      <c r="O980" s="2"/>
      <c r="P980" s="2"/>
      <c r="Q980" s="2"/>
      <c r="R980" s="2"/>
      <c r="S980" s="2"/>
      <c r="T980" s="2"/>
      <c r="U980" s="2"/>
      <c r="V980" s="2"/>
      <c r="W980" s="2"/>
      <c r="X980" s="2"/>
      <c r="Y980" s="2"/>
      <c r="Z980" s="2"/>
    </row>
    <row r="981" spans="1:26" ht="15.75" customHeight="1" x14ac:dyDescent="0.3">
      <c r="A981" s="2"/>
      <c r="B981" s="2"/>
      <c r="C981" s="2"/>
      <c r="D981" s="2"/>
      <c r="E981" s="2"/>
      <c r="F981" s="2"/>
      <c r="G981" s="2"/>
      <c r="H981" s="2"/>
      <c r="I981" s="2"/>
      <c r="J981" s="2"/>
      <c r="K981" s="2"/>
      <c r="M981" s="2"/>
      <c r="N981" s="2"/>
      <c r="O981" s="2"/>
      <c r="P981" s="2"/>
      <c r="Q981" s="2"/>
      <c r="R981" s="2"/>
      <c r="S981" s="2"/>
      <c r="T981" s="2"/>
      <c r="U981" s="2"/>
      <c r="V981" s="2"/>
      <c r="W981" s="2"/>
      <c r="X981" s="2"/>
      <c r="Y981" s="2"/>
      <c r="Z981" s="2"/>
    </row>
    <row r="982" spans="1:26" ht="15.75" customHeight="1" x14ac:dyDescent="0.3">
      <c r="A982" s="2"/>
      <c r="B982" s="2"/>
      <c r="C982" s="2"/>
      <c r="D982" s="2"/>
      <c r="E982" s="2"/>
      <c r="F982" s="2"/>
      <c r="G982" s="2"/>
      <c r="H982" s="2"/>
      <c r="I982" s="2"/>
      <c r="J982" s="2"/>
      <c r="K982" s="2"/>
      <c r="M982" s="2"/>
      <c r="N982" s="2"/>
      <c r="O982" s="2"/>
      <c r="P982" s="2"/>
      <c r="Q982" s="2"/>
      <c r="R982" s="2"/>
      <c r="S982" s="2"/>
      <c r="T982" s="2"/>
      <c r="U982" s="2"/>
      <c r="V982" s="2"/>
      <c r="W982" s="2"/>
      <c r="X982" s="2"/>
      <c r="Y982" s="2"/>
      <c r="Z982" s="2"/>
    </row>
    <row r="983" spans="1:26" ht="15.75" customHeight="1" x14ac:dyDescent="0.3">
      <c r="A983" s="2"/>
      <c r="B983" s="2"/>
      <c r="C983" s="2"/>
      <c r="D983" s="2"/>
      <c r="E983" s="2"/>
      <c r="F983" s="2"/>
      <c r="G983" s="2"/>
      <c r="H983" s="2"/>
      <c r="I983" s="2"/>
      <c r="J983" s="2"/>
      <c r="K983" s="2"/>
      <c r="M983" s="2"/>
      <c r="N983" s="2"/>
      <c r="O983" s="2"/>
      <c r="P983" s="2"/>
      <c r="Q983" s="2"/>
      <c r="R983" s="2"/>
      <c r="S983" s="2"/>
      <c r="T983" s="2"/>
      <c r="U983" s="2"/>
      <c r="V983" s="2"/>
      <c r="W983" s="2"/>
      <c r="X983" s="2"/>
      <c r="Y983" s="2"/>
      <c r="Z983" s="2"/>
    </row>
    <row r="984" spans="1:26" ht="15.75" customHeight="1" x14ac:dyDescent="0.3">
      <c r="A984" s="2"/>
      <c r="B984" s="2"/>
      <c r="C984" s="2"/>
      <c r="D984" s="2"/>
      <c r="E984" s="2"/>
      <c r="F984" s="2"/>
      <c r="G984" s="2"/>
      <c r="H984" s="2"/>
      <c r="I984" s="2"/>
      <c r="J984" s="2"/>
      <c r="K984" s="2"/>
      <c r="M984" s="2"/>
      <c r="N984" s="2"/>
      <c r="O984" s="2"/>
      <c r="P984" s="2"/>
      <c r="Q984" s="2"/>
      <c r="R984" s="2"/>
      <c r="S984" s="2"/>
      <c r="T984" s="2"/>
      <c r="U984" s="2"/>
      <c r="V984" s="2"/>
      <c r="W984" s="2"/>
      <c r="X984" s="2"/>
      <c r="Y984" s="2"/>
      <c r="Z984" s="2"/>
    </row>
    <row r="985" spans="1:26" ht="15.75" customHeight="1" x14ac:dyDescent="0.3">
      <c r="A985" s="2"/>
      <c r="B985" s="2"/>
      <c r="C985" s="2"/>
      <c r="D985" s="2"/>
      <c r="E985" s="2"/>
      <c r="F985" s="2"/>
      <c r="G985" s="2"/>
      <c r="H985" s="2"/>
      <c r="I985" s="2"/>
      <c r="J985" s="2"/>
      <c r="K985" s="2"/>
      <c r="M985" s="2"/>
      <c r="N985" s="2"/>
      <c r="O985" s="2"/>
      <c r="P985" s="2"/>
      <c r="Q985" s="2"/>
      <c r="R985" s="2"/>
      <c r="S985" s="2"/>
      <c r="T985" s="2"/>
      <c r="U985" s="2"/>
      <c r="V985" s="2"/>
      <c r="W985" s="2"/>
      <c r="X985" s="2"/>
      <c r="Y985" s="2"/>
      <c r="Z985" s="2"/>
    </row>
    <row r="986" spans="1:26" ht="15.75" customHeight="1" x14ac:dyDescent="0.3">
      <c r="A986" s="2"/>
      <c r="B986" s="2"/>
      <c r="C986" s="2"/>
      <c r="D986" s="2"/>
      <c r="E986" s="2"/>
      <c r="F986" s="2"/>
      <c r="G986" s="2"/>
      <c r="H986" s="2"/>
      <c r="I986" s="2"/>
      <c r="J986" s="2"/>
      <c r="K986" s="2"/>
      <c r="M986" s="2"/>
      <c r="N986" s="2"/>
      <c r="O986" s="2"/>
      <c r="P986" s="2"/>
      <c r="Q986" s="2"/>
      <c r="R986" s="2"/>
      <c r="S986" s="2"/>
      <c r="T986" s="2"/>
      <c r="U986" s="2"/>
      <c r="V986" s="2"/>
      <c r="W986" s="2"/>
      <c r="X986" s="2"/>
      <c r="Y986" s="2"/>
      <c r="Z986" s="2"/>
    </row>
    <row r="987" spans="1:26" ht="15.75" customHeight="1" x14ac:dyDescent="0.3">
      <c r="A987" s="2"/>
      <c r="B987" s="2"/>
      <c r="C987" s="2"/>
      <c r="D987" s="2"/>
      <c r="E987" s="2"/>
      <c r="F987" s="2"/>
      <c r="G987" s="2"/>
      <c r="H987" s="2"/>
      <c r="I987" s="2"/>
      <c r="J987" s="2"/>
      <c r="K987" s="2"/>
      <c r="M987" s="2"/>
      <c r="N987" s="2"/>
      <c r="O987" s="2"/>
      <c r="P987" s="2"/>
      <c r="Q987" s="2"/>
      <c r="R987" s="2"/>
      <c r="S987" s="2"/>
      <c r="T987" s="2"/>
      <c r="U987" s="2"/>
      <c r="V987" s="2"/>
      <c r="W987" s="2"/>
      <c r="X987" s="2"/>
      <c r="Y987" s="2"/>
      <c r="Z987" s="2"/>
    </row>
    <row r="988" spans="1:26" ht="15.75" customHeight="1" x14ac:dyDescent="0.3">
      <c r="A988" s="2"/>
      <c r="B988" s="2"/>
      <c r="C988" s="2"/>
      <c r="D988" s="2"/>
      <c r="E988" s="2"/>
      <c r="F988" s="2"/>
      <c r="G988" s="2"/>
      <c r="H988" s="2"/>
      <c r="I988" s="2"/>
      <c r="J988" s="2"/>
      <c r="K988" s="2"/>
      <c r="M988" s="2"/>
      <c r="N988" s="2"/>
      <c r="O988" s="2"/>
      <c r="P988" s="2"/>
      <c r="Q988" s="2"/>
      <c r="R988" s="2"/>
      <c r="S988" s="2"/>
      <c r="T988" s="2"/>
      <c r="U988" s="2"/>
      <c r="V988" s="2"/>
      <c r="W988" s="2"/>
      <c r="X988" s="2"/>
      <c r="Y988" s="2"/>
      <c r="Z988" s="2"/>
    </row>
    <row r="989" spans="1:26" ht="15.75" customHeight="1" x14ac:dyDescent="0.3">
      <c r="A989" s="2"/>
      <c r="B989" s="2"/>
      <c r="C989" s="2"/>
      <c r="D989" s="2"/>
      <c r="E989" s="2"/>
      <c r="F989" s="2"/>
      <c r="G989" s="2"/>
      <c r="H989" s="2"/>
      <c r="I989" s="2"/>
      <c r="J989" s="2"/>
      <c r="K989" s="2"/>
      <c r="M989" s="2"/>
      <c r="N989" s="2"/>
      <c r="O989" s="2"/>
      <c r="P989" s="2"/>
      <c r="Q989" s="2"/>
      <c r="R989" s="2"/>
      <c r="S989" s="2"/>
      <c r="T989" s="2"/>
      <c r="U989" s="2"/>
      <c r="V989" s="2"/>
      <c r="W989" s="2"/>
      <c r="X989" s="2"/>
      <c r="Y989" s="2"/>
      <c r="Z989" s="2"/>
    </row>
    <row r="990" spans="1:26" ht="15.75" customHeight="1" x14ac:dyDescent="0.3">
      <c r="A990" s="2"/>
      <c r="B990" s="2"/>
      <c r="C990" s="2"/>
      <c r="D990" s="2"/>
      <c r="E990" s="2"/>
      <c r="F990" s="2"/>
      <c r="G990" s="2"/>
      <c r="H990" s="2"/>
      <c r="I990" s="2"/>
      <c r="J990" s="2"/>
      <c r="K990" s="2"/>
      <c r="M990" s="2"/>
      <c r="N990" s="2"/>
      <c r="O990" s="2"/>
      <c r="P990" s="2"/>
      <c r="Q990" s="2"/>
      <c r="R990" s="2"/>
      <c r="S990" s="2"/>
      <c r="T990" s="2"/>
      <c r="U990" s="2"/>
      <c r="V990" s="2"/>
      <c r="W990" s="2"/>
      <c r="X990" s="2"/>
      <c r="Y990" s="2"/>
      <c r="Z990" s="2"/>
    </row>
    <row r="991" spans="1:26" ht="15.75" customHeight="1" x14ac:dyDescent="0.3">
      <c r="A991" s="2"/>
      <c r="B991" s="2"/>
      <c r="C991" s="2"/>
      <c r="D991" s="2"/>
      <c r="E991" s="2"/>
      <c r="F991" s="2"/>
      <c r="G991" s="2"/>
      <c r="H991" s="2"/>
      <c r="I991" s="2"/>
      <c r="J991" s="2"/>
      <c r="K991" s="2"/>
      <c r="M991" s="2"/>
      <c r="N991" s="2"/>
      <c r="O991" s="2"/>
      <c r="P991" s="2"/>
      <c r="Q991" s="2"/>
      <c r="R991" s="2"/>
      <c r="S991" s="2"/>
      <c r="T991" s="2"/>
      <c r="U991" s="2"/>
      <c r="V991" s="2"/>
      <c r="W991" s="2"/>
      <c r="X991" s="2"/>
      <c r="Y991" s="2"/>
      <c r="Z991" s="2"/>
    </row>
    <row r="992" spans="1:26" ht="15.75" customHeight="1" x14ac:dyDescent="0.3">
      <c r="A992" s="2"/>
      <c r="B992" s="2"/>
      <c r="C992" s="2"/>
      <c r="D992" s="2"/>
      <c r="E992" s="2"/>
      <c r="F992" s="2"/>
      <c r="G992" s="2"/>
      <c r="H992" s="2"/>
      <c r="I992" s="2"/>
      <c r="J992" s="2"/>
      <c r="K992" s="2"/>
      <c r="M992" s="2"/>
      <c r="N992" s="2"/>
      <c r="O992" s="2"/>
      <c r="P992" s="2"/>
      <c r="Q992" s="2"/>
      <c r="R992" s="2"/>
      <c r="S992" s="2"/>
      <c r="T992" s="2"/>
      <c r="U992" s="2"/>
      <c r="V992" s="2"/>
      <c r="W992" s="2"/>
      <c r="X992" s="2"/>
      <c r="Y992" s="2"/>
      <c r="Z992" s="2"/>
    </row>
    <row r="993" spans="1:26" ht="15.75" customHeight="1" x14ac:dyDescent="0.3">
      <c r="A993" s="2"/>
      <c r="B993" s="2"/>
      <c r="C993" s="2"/>
      <c r="D993" s="2"/>
      <c r="E993" s="2"/>
      <c r="F993" s="2"/>
      <c r="G993" s="2"/>
      <c r="H993" s="2"/>
      <c r="I993" s="2"/>
      <c r="J993" s="2"/>
      <c r="K993" s="2"/>
      <c r="M993" s="2"/>
      <c r="N993" s="2"/>
      <c r="O993" s="2"/>
      <c r="P993" s="2"/>
      <c r="Q993" s="2"/>
      <c r="R993" s="2"/>
      <c r="S993" s="2"/>
      <c r="T993" s="2"/>
      <c r="U993" s="2"/>
      <c r="V993" s="2"/>
      <c r="W993" s="2"/>
      <c r="X993" s="2"/>
      <c r="Y993" s="2"/>
      <c r="Z993" s="2"/>
    </row>
    <row r="994" spans="1:26" ht="15.75" customHeight="1" x14ac:dyDescent="0.3">
      <c r="A994" s="2"/>
      <c r="B994" s="2"/>
      <c r="C994" s="2"/>
      <c r="D994" s="2"/>
      <c r="E994" s="2"/>
      <c r="F994" s="2"/>
      <c r="G994" s="2"/>
      <c r="H994" s="2"/>
      <c r="I994" s="2"/>
      <c r="J994" s="2"/>
      <c r="K994" s="2"/>
      <c r="M994" s="2"/>
      <c r="N994" s="2"/>
      <c r="O994" s="2"/>
      <c r="P994" s="2"/>
      <c r="Q994" s="2"/>
      <c r="R994" s="2"/>
      <c r="S994" s="2"/>
      <c r="T994" s="2"/>
      <c r="U994" s="2"/>
      <c r="V994" s="2"/>
      <c r="W994" s="2"/>
      <c r="X994" s="2"/>
      <c r="Y994" s="2"/>
      <c r="Z994" s="2"/>
    </row>
    <row r="995" spans="1:26" ht="15.75" customHeight="1" x14ac:dyDescent="0.3">
      <c r="A995" s="2"/>
      <c r="B995" s="2"/>
      <c r="C995" s="2"/>
      <c r="D995" s="2"/>
      <c r="E995" s="2"/>
      <c r="F995" s="2"/>
      <c r="G995" s="2"/>
      <c r="H995" s="2"/>
      <c r="I995" s="2"/>
      <c r="J995" s="2"/>
      <c r="K995" s="2"/>
      <c r="M995" s="2"/>
      <c r="N995" s="2"/>
      <c r="O995" s="2"/>
      <c r="P995" s="2"/>
      <c r="Q995" s="2"/>
      <c r="R995" s="2"/>
      <c r="S995" s="2"/>
      <c r="T995" s="2"/>
      <c r="U995" s="2"/>
      <c r="V995" s="2"/>
      <c r="W995" s="2"/>
      <c r="X995" s="2"/>
      <c r="Y995" s="2"/>
      <c r="Z995" s="2"/>
    </row>
    <row r="996" spans="1:26" ht="15.75" customHeight="1" x14ac:dyDescent="0.3">
      <c r="A996" s="2"/>
      <c r="B996" s="2"/>
      <c r="C996" s="2"/>
      <c r="D996" s="2"/>
      <c r="E996" s="2"/>
      <c r="F996" s="2"/>
      <c r="G996" s="2"/>
      <c r="H996" s="2"/>
      <c r="I996" s="2"/>
      <c r="J996" s="2"/>
      <c r="K996" s="2"/>
      <c r="M996" s="2"/>
      <c r="N996" s="2"/>
      <c r="O996" s="2"/>
      <c r="P996" s="2"/>
      <c r="Q996" s="2"/>
      <c r="R996" s="2"/>
      <c r="S996" s="2"/>
      <c r="T996" s="2"/>
      <c r="U996" s="2"/>
      <c r="V996" s="2"/>
      <c r="W996" s="2"/>
      <c r="X996" s="2"/>
      <c r="Y996" s="2"/>
      <c r="Z996" s="2"/>
    </row>
    <row r="997" spans="1:26" ht="15.75" customHeight="1" x14ac:dyDescent="0.3">
      <c r="A997" s="2"/>
      <c r="B997" s="2"/>
      <c r="C997" s="2"/>
      <c r="D997" s="2"/>
      <c r="E997" s="2"/>
      <c r="F997" s="2"/>
      <c r="G997" s="2"/>
      <c r="H997" s="2"/>
      <c r="I997" s="2"/>
      <c r="J997" s="2"/>
      <c r="K997" s="2"/>
      <c r="M997" s="2"/>
      <c r="N997" s="2"/>
      <c r="O997" s="2"/>
      <c r="P997" s="2"/>
      <c r="Q997" s="2"/>
      <c r="R997" s="2"/>
      <c r="S997" s="2"/>
      <c r="T997" s="2"/>
      <c r="U997" s="2"/>
      <c r="V997" s="2"/>
      <c r="W997" s="2"/>
      <c r="X997" s="2"/>
      <c r="Y997" s="2"/>
      <c r="Z997" s="2"/>
    </row>
    <row r="998" spans="1:26" ht="15.75" customHeight="1" x14ac:dyDescent="0.3">
      <c r="A998" s="2"/>
      <c r="B998" s="2"/>
      <c r="C998" s="2"/>
      <c r="D998" s="2"/>
      <c r="E998" s="2"/>
      <c r="F998" s="2"/>
      <c r="G998" s="2"/>
      <c r="H998" s="2"/>
      <c r="I998" s="2"/>
      <c r="J998" s="2"/>
      <c r="K998" s="2"/>
      <c r="M998" s="2"/>
      <c r="N998" s="2"/>
      <c r="O998" s="2"/>
      <c r="P998" s="2"/>
      <c r="Q998" s="2"/>
      <c r="R998" s="2"/>
      <c r="S998" s="2"/>
      <c r="T998" s="2"/>
      <c r="U998" s="2"/>
      <c r="V998" s="2"/>
      <c r="W998" s="2"/>
      <c r="X998" s="2"/>
      <c r="Y998" s="2"/>
      <c r="Z998" s="2"/>
    </row>
    <row r="999" spans="1:26" ht="15.75" customHeight="1" x14ac:dyDescent="0.3">
      <c r="A999" s="2"/>
      <c r="B999" s="2"/>
      <c r="C999" s="2"/>
      <c r="D999" s="2"/>
      <c r="E999" s="2"/>
      <c r="F999" s="2"/>
      <c r="G999" s="2"/>
      <c r="H999" s="2"/>
      <c r="I999" s="2"/>
      <c r="J999" s="2"/>
      <c r="K999" s="2"/>
      <c r="M999" s="2"/>
      <c r="N999" s="2"/>
      <c r="O999" s="2"/>
      <c r="P999" s="2"/>
      <c r="Q999" s="2"/>
      <c r="R999" s="2"/>
      <c r="S999" s="2"/>
      <c r="T999" s="2"/>
      <c r="U999" s="2"/>
      <c r="V999" s="2"/>
      <c r="W999" s="2"/>
      <c r="X999" s="2"/>
      <c r="Y999" s="2"/>
      <c r="Z999" s="2"/>
    </row>
    <row r="1000" spans="1:26" ht="15.75" customHeight="1" x14ac:dyDescent="0.3">
      <c r="A1000" s="2"/>
      <c r="B1000" s="2"/>
      <c r="C1000" s="2"/>
      <c r="D1000" s="2"/>
      <c r="E1000" s="2"/>
      <c r="F1000" s="2"/>
      <c r="G1000" s="2"/>
      <c r="H1000" s="2"/>
      <c r="I1000" s="2"/>
      <c r="J1000" s="2"/>
      <c r="K1000" s="2"/>
      <c r="M1000" s="2"/>
      <c r="N1000" s="2"/>
      <c r="O1000" s="2"/>
      <c r="P1000" s="2"/>
      <c r="Q1000" s="2"/>
      <c r="R1000" s="2"/>
      <c r="S1000" s="2"/>
      <c r="T1000" s="2"/>
      <c r="U1000" s="2"/>
      <c r="V1000" s="2"/>
      <c r="W1000" s="2"/>
      <c r="X1000" s="2"/>
      <c r="Y1000" s="2"/>
      <c r="Z1000" s="2"/>
    </row>
  </sheetData>
  <mergeCells count="7">
    <mergeCell ref="J24:M24"/>
    <mergeCell ref="A24:B24"/>
    <mergeCell ref="A25:B25"/>
    <mergeCell ref="D24:E24"/>
    <mergeCell ref="D25:E25"/>
    <mergeCell ref="G24:H24"/>
    <mergeCell ref="G25:H25"/>
  </mergeCells>
  <pageMargins left="0.75" right="0.75" top="1" bottom="1" header="0" footer="0"/>
  <pageSetup orientation="landscape"/>
  <ignoredErrors>
    <ignoredError sqref="H2:H21"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zoomScale="96" workbookViewId="0">
      <selection activeCell="L11" sqref="L11"/>
    </sheetView>
  </sheetViews>
  <sheetFormatPr defaultColWidth="14.44140625" defaultRowHeight="15" customHeight="1" x14ac:dyDescent="0.3"/>
  <cols>
    <col min="1" max="1" width="7.88671875" customWidth="1"/>
    <col min="2" max="2" width="10.5546875" customWidth="1"/>
    <col min="3" max="3" width="7.109375" customWidth="1"/>
    <col min="4" max="4" width="11.5546875" customWidth="1"/>
    <col min="5" max="5" width="8.109375" customWidth="1"/>
    <col min="6" max="6" width="18.88671875" customWidth="1"/>
    <col min="7" max="8" width="8.6640625" customWidth="1"/>
    <col min="9" max="9" width="17.33203125" customWidth="1"/>
    <col min="10" max="10" width="17.5546875" customWidth="1"/>
    <col min="11" max="11" width="11.109375" customWidth="1"/>
    <col min="12" max="12" width="17.21875" customWidth="1"/>
    <col min="13" max="13" width="14.77734375" customWidth="1"/>
    <col min="14" max="26" width="8.6640625" customWidth="1"/>
  </cols>
  <sheetData>
    <row r="1" spans="1:26" ht="12.6" customHeight="1" x14ac:dyDescent="0.3">
      <c r="A1" s="55" t="s">
        <v>64</v>
      </c>
      <c r="B1" s="56" t="s">
        <v>65</v>
      </c>
      <c r="C1" s="56" t="s">
        <v>66</v>
      </c>
      <c r="D1" s="56" t="s">
        <v>67</v>
      </c>
      <c r="E1" s="56" t="s">
        <v>68</v>
      </c>
      <c r="F1" s="57" t="s">
        <v>69</v>
      </c>
      <c r="G1" s="2"/>
      <c r="H1" s="63" t="s">
        <v>135</v>
      </c>
      <c r="I1" s="64" t="s">
        <v>136</v>
      </c>
      <c r="J1" s="65" t="s">
        <v>138</v>
      </c>
      <c r="K1" s="2"/>
      <c r="L1" s="63" t="s">
        <v>152</v>
      </c>
      <c r="M1" s="64" t="s">
        <v>153</v>
      </c>
      <c r="N1" s="72" t="s">
        <v>154</v>
      </c>
      <c r="O1" s="2"/>
      <c r="P1" s="2"/>
      <c r="Q1" s="2"/>
      <c r="R1" s="2"/>
      <c r="S1" s="2"/>
      <c r="T1" s="2"/>
      <c r="U1" s="2"/>
      <c r="V1" s="2"/>
      <c r="W1" s="2"/>
      <c r="X1" s="2"/>
      <c r="Y1" s="2"/>
      <c r="Z1" s="2"/>
    </row>
    <row r="2" spans="1:26" ht="14.4" x14ac:dyDescent="0.3">
      <c r="A2" s="58">
        <v>2001</v>
      </c>
      <c r="B2" s="3" t="s">
        <v>70</v>
      </c>
      <c r="C2" s="3" t="s">
        <v>71</v>
      </c>
      <c r="D2" s="3" t="s">
        <v>72</v>
      </c>
      <c r="E2" s="3">
        <v>7048</v>
      </c>
      <c r="F2" s="59">
        <v>44927</v>
      </c>
      <c r="G2" s="2"/>
      <c r="H2" s="66">
        <f>IF(E2&gt;=40000,0.2,IF(E2&gt;=30000,0.15,IF(E2&gt;=15000,0.1,0)))</f>
        <v>0</v>
      </c>
      <c r="I2" s="67" t="str">
        <f>IF(OR(E2&gt;=30000,E2&gt;=10000),"Eligible","Not Eligible")</f>
        <v>Not Eligible</v>
      </c>
      <c r="J2" s="68" t="str">
        <f>TEXT(F2, "MMM-YYYY")</f>
        <v>Jan-2023</v>
      </c>
      <c r="K2" s="2"/>
      <c r="L2" s="73">
        <f>ROUND(E2, -1)</f>
        <v>7050</v>
      </c>
      <c r="M2" s="67">
        <f>CEILING(E2, 100)</f>
        <v>7100</v>
      </c>
      <c r="N2" s="74">
        <f>FLOOR(E2, 100)</f>
        <v>7000</v>
      </c>
      <c r="O2" s="2"/>
      <c r="P2" s="2"/>
      <c r="Q2" s="2"/>
      <c r="R2" s="2"/>
      <c r="S2" s="2"/>
      <c r="T2" s="2"/>
      <c r="U2" s="2"/>
      <c r="V2" s="2"/>
      <c r="W2" s="2"/>
      <c r="X2" s="2"/>
      <c r="Y2" s="2"/>
      <c r="Z2" s="2"/>
    </row>
    <row r="3" spans="1:26" ht="14.4" x14ac:dyDescent="0.3">
      <c r="A3" s="58">
        <v>2002</v>
      </c>
      <c r="B3" s="3" t="s">
        <v>73</v>
      </c>
      <c r="C3" s="3" t="s">
        <v>74</v>
      </c>
      <c r="D3" s="3" t="s">
        <v>75</v>
      </c>
      <c r="E3" s="3">
        <v>17428</v>
      </c>
      <c r="F3" s="59">
        <v>44942</v>
      </c>
      <c r="G3" s="2"/>
      <c r="H3" s="66">
        <f t="shared" ref="H3:H21" si="0">IF(E3&gt;=40000,0.2,IF(E3&gt;=30000,0.15,IF(E3&gt;=15000,0.1,0)))</f>
        <v>0.1</v>
      </c>
      <c r="I3" s="67" t="str">
        <f t="shared" ref="I3:I21" si="1">IF(OR(E3&gt;=30000,E3&gt;=10000),"Eligible","Not Eligible")</f>
        <v>Eligible</v>
      </c>
      <c r="J3" s="68" t="str">
        <f t="shared" ref="J3:J21" si="2">TEXT(F3, "MMM-YYYY")</f>
        <v>Jan-2023</v>
      </c>
      <c r="K3" s="2"/>
      <c r="L3" s="73">
        <f t="shared" ref="L3:L21" si="3">ROUND(E3, -1)</f>
        <v>17430</v>
      </c>
      <c r="M3" s="67">
        <f t="shared" ref="M3:M21" si="4">CEILING(E3, 100)</f>
        <v>17500</v>
      </c>
      <c r="N3" s="74">
        <f t="shared" ref="N3:N21" si="5">FLOOR(E3, 100)</f>
        <v>17400</v>
      </c>
      <c r="O3" s="2"/>
      <c r="P3" s="2"/>
      <c r="Q3" s="2"/>
      <c r="R3" s="2"/>
      <c r="S3" s="2"/>
      <c r="T3" s="2"/>
      <c r="U3" s="2"/>
      <c r="V3" s="2"/>
      <c r="W3" s="2"/>
      <c r="X3" s="2"/>
      <c r="Y3" s="2"/>
      <c r="Z3" s="2"/>
    </row>
    <row r="4" spans="1:26" ht="14.4" x14ac:dyDescent="0.3">
      <c r="A4" s="58">
        <v>2003</v>
      </c>
      <c r="B4" s="3" t="s">
        <v>76</v>
      </c>
      <c r="C4" s="3" t="s">
        <v>71</v>
      </c>
      <c r="D4" s="3" t="s">
        <v>77</v>
      </c>
      <c r="E4" s="3">
        <v>23672</v>
      </c>
      <c r="F4" s="59">
        <v>44957</v>
      </c>
      <c r="G4" s="2"/>
      <c r="H4" s="66">
        <f t="shared" si="0"/>
        <v>0.1</v>
      </c>
      <c r="I4" s="67" t="str">
        <f t="shared" si="1"/>
        <v>Eligible</v>
      </c>
      <c r="J4" s="68" t="str">
        <f t="shared" si="2"/>
        <v>Jan-2023</v>
      </c>
      <c r="K4" s="2"/>
      <c r="L4" s="73">
        <f t="shared" si="3"/>
        <v>23670</v>
      </c>
      <c r="M4" s="67">
        <f t="shared" si="4"/>
        <v>23700</v>
      </c>
      <c r="N4" s="74">
        <f t="shared" si="5"/>
        <v>23600</v>
      </c>
      <c r="O4" s="2"/>
      <c r="P4" s="2"/>
      <c r="Q4" s="2"/>
      <c r="R4" s="2"/>
      <c r="S4" s="2"/>
      <c r="T4" s="2"/>
      <c r="U4" s="2"/>
      <c r="V4" s="2"/>
      <c r="W4" s="2"/>
      <c r="X4" s="2"/>
      <c r="Y4" s="2"/>
      <c r="Z4" s="2"/>
    </row>
    <row r="5" spans="1:26" ht="14.4" x14ac:dyDescent="0.3">
      <c r="A5" s="58">
        <v>2004</v>
      </c>
      <c r="B5" s="3" t="s">
        <v>73</v>
      </c>
      <c r="C5" s="3" t="s">
        <v>78</v>
      </c>
      <c r="D5" s="3" t="s">
        <v>79</v>
      </c>
      <c r="E5" s="3">
        <v>5264</v>
      </c>
      <c r="F5" s="59">
        <v>44972</v>
      </c>
      <c r="G5" s="2"/>
      <c r="H5" s="66">
        <f t="shared" si="0"/>
        <v>0</v>
      </c>
      <c r="I5" s="67" t="str">
        <f t="shared" si="1"/>
        <v>Not Eligible</v>
      </c>
      <c r="J5" s="68" t="str">
        <f t="shared" si="2"/>
        <v>Feb-2023</v>
      </c>
      <c r="K5" s="2"/>
      <c r="L5" s="73">
        <f t="shared" si="3"/>
        <v>5260</v>
      </c>
      <c r="M5" s="67">
        <f t="shared" si="4"/>
        <v>5300</v>
      </c>
      <c r="N5" s="74">
        <f t="shared" si="5"/>
        <v>5200</v>
      </c>
      <c r="O5" s="2"/>
      <c r="P5" s="2"/>
      <c r="Q5" s="2"/>
      <c r="R5" s="2"/>
      <c r="S5" s="2"/>
      <c r="T5" s="2"/>
      <c r="U5" s="2"/>
      <c r="V5" s="2"/>
      <c r="W5" s="2"/>
      <c r="X5" s="2"/>
      <c r="Y5" s="2"/>
      <c r="Z5" s="2"/>
    </row>
    <row r="6" spans="1:26" ht="14.4" x14ac:dyDescent="0.3">
      <c r="A6" s="58">
        <v>2005</v>
      </c>
      <c r="B6" s="3" t="s">
        <v>70</v>
      </c>
      <c r="C6" s="3" t="s">
        <v>80</v>
      </c>
      <c r="D6" s="3" t="s">
        <v>81</v>
      </c>
      <c r="E6" s="3">
        <v>43388</v>
      </c>
      <c r="F6" s="59">
        <v>44987</v>
      </c>
      <c r="G6" s="2"/>
      <c r="H6" s="66">
        <f t="shared" si="0"/>
        <v>0.2</v>
      </c>
      <c r="I6" s="67" t="str">
        <f t="shared" si="1"/>
        <v>Eligible</v>
      </c>
      <c r="J6" s="68" t="str">
        <f t="shared" si="2"/>
        <v>Mar-2023</v>
      </c>
      <c r="K6" s="2"/>
      <c r="L6" s="73">
        <f t="shared" si="3"/>
        <v>43390</v>
      </c>
      <c r="M6" s="67">
        <f t="shared" si="4"/>
        <v>43400</v>
      </c>
      <c r="N6" s="74">
        <f t="shared" si="5"/>
        <v>43300</v>
      </c>
      <c r="O6" s="2"/>
      <c r="P6" s="2"/>
      <c r="Q6" s="2"/>
      <c r="R6" s="2"/>
      <c r="S6" s="2"/>
      <c r="T6" s="2"/>
      <c r="U6" s="2"/>
      <c r="V6" s="2"/>
      <c r="W6" s="2"/>
      <c r="X6" s="2"/>
      <c r="Y6" s="2"/>
      <c r="Z6" s="2"/>
    </row>
    <row r="7" spans="1:26" ht="14.4" x14ac:dyDescent="0.3">
      <c r="A7" s="58">
        <v>2006</v>
      </c>
      <c r="B7" s="3" t="s">
        <v>76</v>
      </c>
      <c r="C7" s="3" t="s">
        <v>80</v>
      </c>
      <c r="D7" s="3" t="s">
        <v>82</v>
      </c>
      <c r="E7" s="3">
        <v>19757</v>
      </c>
      <c r="F7" s="59">
        <v>45002</v>
      </c>
      <c r="G7" s="2"/>
      <c r="H7" s="66">
        <f t="shared" si="0"/>
        <v>0.1</v>
      </c>
      <c r="I7" s="67" t="str">
        <f t="shared" si="1"/>
        <v>Eligible</v>
      </c>
      <c r="J7" s="68" t="str">
        <f t="shared" si="2"/>
        <v>Mar-2023</v>
      </c>
      <c r="K7" s="2"/>
      <c r="L7" s="73">
        <f t="shared" si="3"/>
        <v>19760</v>
      </c>
      <c r="M7" s="67">
        <f t="shared" si="4"/>
        <v>19800</v>
      </c>
      <c r="N7" s="74">
        <f t="shared" si="5"/>
        <v>19700</v>
      </c>
      <c r="O7" s="2"/>
      <c r="P7" s="2"/>
      <c r="Q7" s="2"/>
      <c r="R7" s="2"/>
      <c r="S7" s="2"/>
      <c r="T7" s="2"/>
      <c r="U7" s="2"/>
      <c r="V7" s="2"/>
      <c r="W7" s="2"/>
      <c r="X7" s="2"/>
      <c r="Y7" s="2"/>
      <c r="Z7" s="2"/>
    </row>
    <row r="8" spans="1:26" ht="14.4" x14ac:dyDescent="0.3">
      <c r="A8" s="58">
        <v>2007</v>
      </c>
      <c r="B8" s="3" t="s">
        <v>76</v>
      </c>
      <c r="C8" s="3" t="s">
        <v>78</v>
      </c>
      <c r="D8" s="3" t="s">
        <v>83</v>
      </c>
      <c r="E8" s="3">
        <v>32058</v>
      </c>
      <c r="F8" s="59">
        <v>45017</v>
      </c>
      <c r="G8" s="2"/>
      <c r="H8" s="66">
        <f t="shared" si="0"/>
        <v>0.15</v>
      </c>
      <c r="I8" s="67" t="str">
        <f t="shared" si="1"/>
        <v>Eligible</v>
      </c>
      <c r="J8" s="68" t="str">
        <f t="shared" si="2"/>
        <v>Apr-2023</v>
      </c>
      <c r="K8" s="2"/>
      <c r="L8" s="73">
        <f t="shared" si="3"/>
        <v>32060</v>
      </c>
      <c r="M8" s="67">
        <f t="shared" si="4"/>
        <v>32100</v>
      </c>
      <c r="N8" s="74">
        <f t="shared" si="5"/>
        <v>32000</v>
      </c>
      <c r="O8" s="2"/>
      <c r="P8" s="2"/>
      <c r="Q8" s="2"/>
      <c r="R8" s="2"/>
      <c r="S8" s="2"/>
      <c r="T8" s="2"/>
      <c r="U8" s="2"/>
      <c r="V8" s="2"/>
      <c r="W8" s="2"/>
      <c r="X8" s="2"/>
      <c r="Y8" s="2"/>
      <c r="Z8" s="2"/>
    </row>
    <row r="9" spans="1:26" ht="14.4" x14ac:dyDescent="0.3">
      <c r="A9" s="58">
        <v>2008</v>
      </c>
      <c r="B9" s="3" t="s">
        <v>70</v>
      </c>
      <c r="C9" s="3" t="s">
        <v>78</v>
      </c>
      <c r="D9" s="3" t="s">
        <v>84</v>
      </c>
      <c r="E9" s="3">
        <v>46429</v>
      </c>
      <c r="F9" s="59">
        <v>45032</v>
      </c>
      <c r="G9" s="2"/>
      <c r="H9" s="66">
        <f t="shared" si="0"/>
        <v>0.2</v>
      </c>
      <c r="I9" s="67" t="str">
        <f t="shared" si="1"/>
        <v>Eligible</v>
      </c>
      <c r="J9" s="68" t="str">
        <f t="shared" si="2"/>
        <v>Apr-2023</v>
      </c>
      <c r="K9" s="2"/>
      <c r="L9" s="73">
        <f t="shared" si="3"/>
        <v>46430</v>
      </c>
      <c r="M9" s="67">
        <f t="shared" si="4"/>
        <v>46500</v>
      </c>
      <c r="N9" s="74">
        <f t="shared" si="5"/>
        <v>46400</v>
      </c>
      <c r="O9" s="2"/>
      <c r="P9" s="2"/>
      <c r="Q9" s="2"/>
      <c r="R9" s="2"/>
      <c r="S9" s="2"/>
      <c r="T9" s="2"/>
      <c r="U9" s="2"/>
      <c r="V9" s="2"/>
      <c r="W9" s="2"/>
      <c r="X9" s="2"/>
      <c r="Y9" s="2"/>
      <c r="Z9" s="2"/>
    </row>
    <row r="10" spans="1:26" ht="14.4" x14ac:dyDescent="0.3">
      <c r="A10" s="58">
        <v>2009</v>
      </c>
      <c r="B10" s="3" t="s">
        <v>73</v>
      </c>
      <c r="C10" s="3" t="s">
        <v>78</v>
      </c>
      <c r="D10" s="3" t="s">
        <v>85</v>
      </c>
      <c r="E10" s="3">
        <v>19746</v>
      </c>
      <c r="F10" s="59">
        <v>45047</v>
      </c>
      <c r="G10" s="2"/>
      <c r="H10" s="66">
        <f t="shared" si="0"/>
        <v>0.1</v>
      </c>
      <c r="I10" s="67" t="str">
        <f t="shared" si="1"/>
        <v>Eligible</v>
      </c>
      <c r="J10" s="68" t="str">
        <f t="shared" si="2"/>
        <v>May-2023</v>
      </c>
      <c r="K10" s="2"/>
      <c r="L10" s="73">
        <f t="shared" si="3"/>
        <v>19750</v>
      </c>
      <c r="M10" s="67">
        <f t="shared" si="4"/>
        <v>19800</v>
      </c>
      <c r="N10" s="74">
        <f t="shared" si="5"/>
        <v>19700</v>
      </c>
      <c r="O10" s="2"/>
      <c r="P10" s="2"/>
      <c r="Q10" s="2"/>
      <c r="R10" s="2"/>
      <c r="S10" s="2"/>
      <c r="T10" s="2"/>
      <c r="U10" s="2"/>
      <c r="V10" s="2"/>
      <c r="W10" s="2"/>
      <c r="X10" s="2"/>
      <c r="Y10" s="2"/>
      <c r="Z10" s="2"/>
    </row>
    <row r="11" spans="1:26" ht="14.4" x14ac:dyDescent="0.3">
      <c r="A11" s="58">
        <v>2010</v>
      </c>
      <c r="B11" s="3" t="s">
        <v>70</v>
      </c>
      <c r="C11" s="3" t="s">
        <v>71</v>
      </c>
      <c r="D11" s="3" t="s">
        <v>86</v>
      </c>
      <c r="E11" s="3">
        <v>35185</v>
      </c>
      <c r="F11" s="59">
        <v>45062</v>
      </c>
      <c r="G11" s="2"/>
      <c r="H11" s="66">
        <f t="shared" si="0"/>
        <v>0.15</v>
      </c>
      <c r="I11" s="67" t="str">
        <f t="shared" si="1"/>
        <v>Eligible</v>
      </c>
      <c r="J11" s="68" t="str">
        <f t="shared" si="2"/>
        <v>May-2023</v>
      </c>
      <c r="K11" s="2"/>
      <c r="L11" s="73">
        <f t="shared" si="3"/>
        <v>35190</v>
      </c>
      <c r="M11" s="67">
        <f t="shared" si="4"/>
        <v>35200</v>
      </c>
      <c r="N11" s="74">
        <f t="shared" si="5"/>
        <v>35100</v>
      </c>
      <c r="O11" s="2"/>
      <c r="P11" s="2"/>
      <c r="Q11" s="2"/>
      <c r="R11" s="2"/>
      <c r="S11" s="2"/>
      <c r="T11" s="2"/>
      <c r="U11" s="2"/>
      <c r="V11" s="2"/>
      <c r="W11" s="2"/>
      <c r="X11" s="2"/>
      <c r="Y11" s="2"/>
      <c r="Z11" s="2"/>
    </row>
    <row r="12" spans="1:26" ht="14.4" x14ac:dyDescent="0.3">
      <c r="A12" s="58">
        <v>2011</v>
      </c>
      <c r="B12" s="3" t="s">
        <v>70</v>
      </c>
      <c r="C12" s="3" t="s">
        <v>78</v>
      </c>
      <c r="D12" s="3" t="s">
        <v>87</v>
      </c>
      <c r="E12" s="3">
        <v>33920</v>
      </c>
      <c r="F12" s="59">
        <v>45077</v>
      </c>
      <c r="G12" s="2"/>
      <c r="H12" s="66">
        <f t="shared" si="0"/>
        <v>0.15</v>
      </c>
      <c r="I12" s="67" t="str">
        <f t="shared" si="1"/>
        <v>Eligible</v>
      </c>
      <c r="J12" s="68" t="str">
        <f t="shared" si="2"/>
        <v>May-2023</v>
      </c>
      <c r="K12" s="2"/>
      <c r="L12" s="73">
        <f t="shared" si="3"/>
        <v>33920</v>
      </c>
      <c r="M12" s="67">
        <f t="shared" si="4"/>
        <v>34000</v>
      </c>
      <c r="N12" s="74">
        <f t="shared" si="5"/>
        <v>33900</v>
      </c>
      <c r="O12" s="2"/>
      <c r="P12" s="2"/>
      <c r="Q12" s="2"/>
      <c r="R12" s="2"/>
      <c r="S12" s="2"/>
      <c r="T12" s="2"/>
      <c r="U12" s="2"/>
      <c r="V12" s="2"/>
      <c r="W12" s="2"/>
      <c r="X12" s="2"/>
      <c r="Y12" s="2"/>
      <c r="Z12" s="2"/>
    </row>
    <row r="13" spans="1:26" ht="14.4" x14ac:dyDescent="0.3">
      <c r="A13" s="58">
        <v>2012</v>
      </c>
      <c r="B13" s="3" t="s">
        <v>88</v>
      </c>
      <c r="C13" s="3" t="s">
        <v>80</v>
      </c>
      <c r="D13" s="3" t="s">
        <v>89</v>
      </c>
      <c r="E13" s="3">
        <v>35611</v>
      </c>
      <c r="F13" s="59">
        <v>45092</v>
      </c>
      <c r="G13" s="2"/>
      <c r="H13" s="66">
        <f t="shared" si="0"/>
        <v>0.15</v>
      </c>
      <c r="I13" s="67" t="str">
        <f t="shared" si="1"/>
        <v>Eligible</v>
      </c>
      <c r="J13" s="68" t="str">
        <f t="shared" si="2"/>
        <v>Jun-2023</v>
      </c>
      <c r="K13" s="2"/>
      <c r="L13" s="73">
        <f t="shared" si="3"/>
        <v>35610</v>
      </c>
      <c r="M13" s="67">
        <f t="shared" si="4"/>
        <v>35700</v>
      </c>
      <c r="N13" s="74">
        <f t="shared" si="5"/>
        <v>35600</v>
      </c>
      <c r="O13" s="2"/>
      <c r="P13" s="2"/>
      <c r="Q13" s="2"/>
      <c r="R13" s="2"/>
      <c r="S13" s="2"/>
      <c r="T13" s="2"/>
      <c r="U13" s="2"/>
      <c r="V13" s="2"/>
      <c r="W13" s="2"/>
      <c r="X13" s="2"/>
      <c r="Y13" s="2"/>
      <c r="Z13" s="2"/>
    </row>
    <row r="14" spans="1:26" ht="14.4" x14ac:dyDescent="0.3">
      <c r="A14" s="58">
        <v>2013</v>
      </c>
      <c r="B14" s="3" t="s">
        <v>90</v>
      </c>
      <c r="C14" s="3" t="s">
        <v>78</v>
      </c>
      <c r="D14" s="3" t="s">
        <v>91</v>
      </c>
      <c r="E14" s="3">
        <v>15560</v>
      </c>
      <c r="F14" s="59">
        <v>45107</v>
      </c>
      <c r="G14" s="2"/>
      <c r="H14" s="66">
        <f t="shared" si="0"/>
        <v>0.1</v>
      </c>
      <c r="I14" s="67" t="str">
        <f t="shared" si="1"/>
        <v>Eligible</v>
      </c>
      <c r="J14" s="68" t="str">
        <f t="shared" si="2"/>
        <v>Jun-2023</v>
      </c>
      <c r="K14" s="2"/>
      <c r="L14" s="73">
        <f t="shared" si="3"/>
        <v>15560</v>
      </c>
      <c r="M14" s="67">
        <f t="shared" si="4"/>
        <v>15600</v>
      </c>
      <c r="N14" s="74">
        <f t="shared" si="5"/>
        <v>15500</v>
      </c>
      <c r="O14" s="2"/>
      <c r="P14" s="2"/>
      <c r="Q14" s="2"/>
      <c r="R14" s="2"/>
      <c r="S14" s="2"/>
      <c r="T14" s="2"/>
      <c r="U14" s="2"/>
      <c r="V14" s="2"/>
      <c r="W14" s="2"/>
      <c r="X14" s="2"/>
      <c r="Y14" s="2"/>
      <c r="Z14" s="2"/>
    </row>
    <row r="15" spans="1:26" ht="14.4" x14ac:dyDescent="0.3">
      <c r="A15" s="58">
        <v>2014</v>
      </c>
      <c r="B15" s="3" t="s">
        <v>90</v>
      </c>
      <c r="C15" s="3" t="s">
        <v>71</v>
      </c>
      <c r="D15" s="3" t="s">
        <v>92</v>
      </c>
      <c r="E15" s="3">
        <v>7283</v>
      </c>
      <c r="F15" s="59">
        <v>45122</v>
      </c>
      <c r="G15" s="2"/>
      <c r="H15" s="66">
        <f t="shared" si="0"/>
        <v>0</v>
      </c>
      <c r="I15" s="67" t="str">
        <f t="shared" si="1"/>
        <v>Not Eligible</v>
      </c>
      <c r="J15" s="68" t="str">
        <f t="shared" si="2"/>
        <v>Jul-2023</v>
      </c>
      <c r="K15" s="2"/>
      <c r="L15" s="73">
        <f t="shared" si="3"/>
        <v>7280</v>
      </c>
      <c r="M15" s="67">
        <f t="shared" si="4"/>
        <v>7300</v>
      </c>
      <c r="N15" s="74">
        <f t="shared" si="5"/>
        <v>7200</v>
      </c>
      <c r="O15" s="2"/>
      <c r="P15" s="2"/>
      <c r="Q15" s="2"/>
      <c r="R15" s="2"/>
      <c r="S15" s="2"/>
      <c r="T15" s="2"/>
      <c r="U15" s="2"/>
      <c r="V15" s="2"/>
      <c r="W15" s="2"/>
      <c r="X15" s="2"/>
      <c r="Y15" s="2"/>
      <c r="Z15" s="2"/>
    </row>
    <row r="16" spans="1:26" ht="14.4" x14ac:dyDescent="0.3">
      <c r="A16" s="58">
        <v>2015</v>
      </c>
      <c r="B16" s="3" t="s">
        <v>90</v>
      </c>
      <c r="C16" s="3" t="s">
        <v>78</v>
      </c>
      <c r="D16" s="3" t="s">
        <v>93</v>
      </c>
      <c r="E16" s="3">
        <v>15678</v>
      </c>
      <c r="F16" s="59">
        <v>45137</v>
      </c>
      <c r="G16" s="2"/>
      <c r="H16" s="66">
        <f t="shared" si="0"/>
        <v>0.1</v>
      </c>
      <c r="I16" s="67" t="str">
        <f t="shared" si="1"/>
        <v>Eligible</v>
      </c>
      <c r="J16" s="68" t="str">
        <f t="shared" si="2"/>
        <v>Jul-2023</v>
      </c>
      <c r="K16" s="2"/>
      <c r="L16" s="73">
        <f t="shared" si="3"/>
        <v>15680</v>
      </c>
      <c r="M16" s="67">
        <f t="shared" si="4"/>
        <v>15700</v>
      </c>
      <c r="N16" s="74">
        <f t="shared" si="5"/>
        <v>15600</v>
      </c>
      <c r="O16" s="2"/>
      <c r="P16" s="2"/>
      <c r="Q16" s="2"/>
      <c r="R16" s="2"/>
      <c r="S16" s="2"/>
      <c r="T16" s="2"/>
      <c r="U16" s="2"/>
      <c r="V16" s="2"/>
      <c r="W16" s="2"/>
      <c r="X16" s="2"/>
      <c r="Y16" s="2"/>
      <c r="Z16" s="2"/>
    </row>
    <row r="17" spans="1:26" ht="14.4" x14ac:dyDescent="0.3">
      <c r="A17" s="58">
        <v>2016</v>
      </c>
      <c r="B17" s="3" t="s">
        <v>76</v>
      </c>
      <c r="C17" s="3" t="s">
        <v>78</v>
      </c>
      <c r="D17" s="3" t="s">
        <v>94</v>
      </c>
      <c r="E17" s="3">
        <v>5277</v>
      </c>
      <c r="F17" s="59">
        <v>45152</v>
      </c>
      <c r="G17" s="2"/>
      <c r="H17" s="66">
        <f t="shared" si="0"/>
        <v>0</v>
      </c>
      <c r="I17" s="67" t="str">
        <f t="shared" si="1"/>
        <v>Not Eligible</v>
      </c>
      <c r="J17" s="68" t="str">
        <f t="shared" si="2"/>
        <v>Aug-2023</v>
      </c>
      <c r="K17" s="2"/>
      <c r="L17" s="73">
        <f t="shared" si="3"/>
        <v>5280</v>
      </c>
      <c r="M17" s="67">
        <f t="shared" si="4"/>
        <v>5300</v>
      </c>
      <c r="N17" s="74">
        <f t="shared" si="5"/>
        <v>5200</v>
      </c>
      <c r="O17" s="2"/>
      <c r="P17" s="2"/>
      <c r="Q17" s="2"/>
      <c r="R17" s="2"/>
      <c r="S17" s="2"/>
      <c r="T17" s="2"/>
      <c r="U17" s="2"/>
      <c r="V17" s="2"/>
      <c r="W17" s="2"/>
      <c r="X17" s="2"/>
      <c r="Y17" s="2"/>
      <c r="Z17" s="2"/>
    </row>
    <row r="18" spans="1:26" ht="14.4" x14ac:dyDescent="0.3">
      <c r="A18" s="58">
        <v>2017</v>
      </c>
      <c r="B18" s="3" t="s">
        <v>88</v>
      </c>
      <c r="C18" s="3" t="s">
        <v>80</v>
      </c>
      <c r="D18" s="3" t="s">
        <v>95</v>
      </c>
      <c r="E18" s="3">
        <v>41871</v>
      </c>
      <c r="F18" s="59">
        <v>45167</v>
      </c>
      <c r="G18" s="2"/>
      <c r="H18" s="66">
        <f t="shared" si="0"/>
        <v>0.2</v>
      </c>
      <c r="I18" s="67" t="str">
        <f t="shared" si="1"/>
        <v>Eligible</v>
      </c>
      <c r="J18" s="68" t="str">
        <f t="shared" si="2"/>
        <v>Aug-2023</v>
      </c>
      <c r="K18" s="2"/>
      <c r="L18" s="73">
        <f t="shared" si="3"/>
        <v>41870</v>
      </c>
      <c r="M18" s="67">
        <f t="shared" si="4"/>
        <v>41900</v>
      </c>
      <c r="N18" s="74">
        <f t="shared" si="5"/>
        <v>41800</v>
      </c>
      <c r="O18" s="2"/>
      <c r="P18" s="2"/>
      <c r="Q18" s="2"/>
      <c r="R18" s="2"/>
      <c r="S18" s="2"/>
      <c r="T18" s="2"/>
      <c r="U18" s="2"/>
      <c r="V18" s="2"/>
      <c r="W18" s="2"/>
      <c r="X18" s="2"/>
      <c r="Y18" s="2"/>
      <c r="Z18" s="2"/>
    </row>
    <row r="19" spans="1:26" ht="14.4" x14ac:dyDescent="0.3">
      <c r="A19" s="58">
        <v>2018</v>
      </c>
      <c r="B19" s="3" t="s">
        <v>88</v>
      </c>
      <c r="C19" s="3" t="s">
        <v>74</v>
      </c>
      <c r="D19" s="3" t="s">
        <v>96</v>
      </c>
      <c r="E19" s="3">
        <v>38161</v>
      </c>
      <c r="F19" s="59">
        <v>45182</v>
      </c>
      <c r="G19" s="2"/>
      <c r="H19" s="66">
        <f t="shared" si="0"/>
        <v>0.15</v>
      </c>
      <c r="I19" s="67" t="str">
        <f t="shared" si="1"/>
        <v>Eligible</v>
      </c>
      <c r="J19" s="68" t="str">
        <f t="shared" si="2"/>
        <v>Sep-2023</v>
      </c>
      <c r="K19" s="2"/>
      <c r="L19" s="73">
        <f t="shared" si="3"/>
        <v>38160</v>
      </c>
      <c r="M19" s="67">
        <f t="shared" si="4"/>
        <v>38200</v>
      </c>
      <c r="N19" s="74">
        <f t="shared" si="5"/>
        <v>38100</v>
      </c>
      <c r="O19" s="2"/>
      <c r="P19" s="2"/>
      <c r="Q19" s="2"/>
      <c r="R19" s="2"/>
      <c r="S19" s="2"/>
      <c r="T19" s="2"/>
      <c r="U19" s="2"/>
      <c r="V19" s="2"/>
      <c r="W19" s="2"/>
      <c r="X19" s="2"/>
      <c r="Y19" s="2"/>
      <c r="Z19" s="2"/>
    </row>
    <row r="20" spans="1:26" ht="14.4" x14ac:dyDescent="0.3">
      <c r="A20" s="58">
        <v>2019</v>
      </c>
      <c r="B20" s="3" t="s">
        <v>76</v>
      </c>
      <c r="C20" s="3" t="s">
        <v>74</v>
      </c>
      <c r="D20" s="3" t="s">
        <v>97</v>
      </c>
      <c r="E20" s="3">
        <v>30436</v>
      </c>
      <c r="F20" s="59">
        <v>45197</v>
      </c>
      <c r="G20" s="2"/>
      <c r="H20" s="66">
        <f t="shared" si="0"/>
        <v>0.15</v>
      </c>
      <c r="I20" s="67" t="str">
        <f t="shared" si="1"/>
        <v>Eligible</v>
      </c>
      <c r="J20" s="68" t="str">
        <f t="shared" si="2"/>
        <v>Sep-2023</v>
      </c>
      <c r="K20" s="2"/>
      <c r="L20" s="73">
        <f t="shared" si="3"/>
        <v>30440</v>
      </c>
      <c r="M20" s="67">
        <f t="shared" si="4"/>
        <v>30500</v>
      </c>
      <c r="N20" s="74">
        <f t="shared" si="5"/>
        <v>30400</v>
      </c>
      <c r="O20" s="2"/>
      <c r="P20" s="2"/>
      <c r="Q20" s="2"/>
      <c r="R20" s="2"/>
      <c r="S20" s="2"/>
      <c r="T20" s="2"/>
      <c r="U20" s="2"/>
      <c r="V20" s="2"/>
      <c r="W20" s="2"/>
      <c r="X20" s="2"/>
      <c r="Y20" s="2"/>
      <c r="Z20" s="2"/>
    </row>
    <row r="21" spans="1:26" ht="15.75" customHeight="1" thickBot="1" x14ac:dyDescent="0.35">
      <c r="A21" s="60">
        <v>2020</v>
      </c>
      <c r="B21" s="61" t="s">
        <v>73</v>
      </c>
      <c r="C21" s="61" t="s">
        <v>74</v>
      </c>
      <c r="D21" s="61" t="s">
        <v>98</v>
      </c>
      <c r="E21" s="61">
        <v>33953</v>
      </c>
      <c r="F21" s="62">
        <v>45212</v>
      </c>
      <c r="G21" s="2"/>
      <c r="H21" s="69">
        <f t="shared" si="0"/>
        <v>0.15</v>
      </c>
      <c r="I21" s="70" t="str">
        <f t="shared" si="1"/>
        <v>Eligible</v>
      </c>
      <c r="J21" s="71" t="str">
        <f t="shared" si="2"/>
        <v>Oct-2023</v>
      </c>
      <c r="K21" s="2"/>
      <c r="L21" s="75">
        <f t="shared" si="3"/>
        <v>33950</v>
      </c>
      <c r="M21" s="70">
        <f t="shared" si="4"/>
        <v>34000</v>
      </c>
      <c r="N21" s="76">
        <f t="shared" si="5"/>
        <v>33900</v>
      </c>
      <c r="O21" s="2"/>
      <c r="P21" s="2"/>
      <c r="Q21" s="2"/>
      <c r="R21" s="2"/>
      <c r="S21" s="2"/>
      <c r="T21" s="2"/>
      <c r="U21" s="2"/>
      <c r="V21" s="2"/>
      <c r="W21" s="2"/>
      <c r="X21" s="2"/>
      <c r="Y21" s="2"/>
      <c r="Z21" s="2"/>
    </row>
    <row r="22" spans="1:26" ht="15.75" customHeight="1" x14ac:dyDescent="0.3">
      <c r="A22" s="2"/>
      <c r="B22" s="2"/>
      <c r="C22" s="2"/>
      <c r="D22" s="2"/>
      <c r="E22" s="2"/>
      <c r="F22" s="2"/>
      <c r="G22" s="2"/>
      <c r="H22" s="2"/>
      <c r="I22" s="2"/>
      <c r="K22" s="2"/>
      <c r="L22" s="2"/>
      <c r="M22" s="2"/>
      <c r="N22" s="2"/>
      <c r="O22" s="2"/>
      <c r="P22" s="2"/>
      <c r="Q22" s="2"/>
      <c r="R22" s="2"/>
      <c r="S22" s="2"/>
      <c r="T22" s="2"/>
      <c r="U22" s="2"/>
      <c r="V22" s="2"/>
      <c r="W22" s="2"/>
      <c r="X22" s="2"/>
      <c r="Y22" s="2"/>
      <c r="Z22" s="2"/>
    </row>
    <row r="23" spans="1:26" ht="15.75" customHeight="1" thickBot="1" x14ac:dyDescent="0.35">
      <c r="A23" s="2"/>
      <c r="B23" s="2"/>
      <c r="C23" s="2"/>
      <c r="D23" s="2"/>
      <c r="E23" s="2"/>
      <c r="F23" s="2"/>
      <c r="G23" s="2"/>
      <c r="H23" s="2"/>
      <c r="I23" s="2"/>
      <c r="K23" s="2"/>
      <c r="L23" s="2"/>
      <c r="M23" s="2"/>
      <c r="N23" s="2"/>
      <c r="O23" s="2"/>
      <c r="P23" s="2"/>
      <c r="Q23" s="2"/>
      <c r="R23" s="2"/>
      <c r="S23" s="2"/>
      <c r="T23" s="2"/>
      <c r="U23" s="2"/>
      <c r="V23" s="2"/>
      <c r="W23" s="2"/>
      <c r="X23" s="2"/>
      <c r="Y23" s="2"/>
      <c r="Z23" s="2"/>
    </row>
    <row r="24" spans="1:26" ht="34.200000000000003" customHeight="1" x14ac:dyDescent="0.3">
      <c r="A24" s="43" t="s">
        <v>137</v>
      </c>
      <c r="B24" s="44"/>
      <c r="C24" s="2"/>
      <c r="D24" s="43" t="s">
        <v>171</v>
      </c>
      <c r="E24" s="44"/>
      <c r="F24" s="2"/>
      <c r="G24" s="49" t="s">
        <v>139</v>
      </c>
      <c r="H24" s="50"/>
      <c r="J24" s="52" t="s">
        <v>172</v>
      </c>
      <c r="K24" s="2"/>
      <c r="L24" s="52" t="s">
        <v>151</v>
      </c>
      <c r="M24" s="2"/>
      <c r="N24" s="2"/>
      <c r="O24" s="2"/>
      <c r="P24" s="2"/>
      <c r="Q24" s="2"/>
      <c r="R24" s="2"/>
      <c r="S24" s="2"/>
      <c r="T24" s="2"/>
      <c r="U24" s="2"/>
      <c r="V24" s="2"/>
      <c r="W24" s="2"/>
      <c r="X24" s="2"/>
      <c r="Y24" s="2"/>
      <c r="Z24" s="2"/>
    </row>
    <row r="25" spans="1:26" ht="15.75" customHeight="1" thickBot="1" x14ac:dyDescent="0.35">
      <c r="A25" s="45" t="s">
        <v>78</v>
      </c>
      <c r="B25" s="46">
        <f>SUMIF(C2:C21, "East", E2:E21)</f>
        <v>173932</v>
      </c>
      <c r="C25" s="2"/>
      <c r="D25" s="45" t="s">
        <v>70</v>
      </c>
      <c r="E25" s="46">
        <f>SUMIF(B2:B21,D25, E2:E21)</f>
        <v>165970</v>
      </c>
      <c r="F25" s="2"/>
      <c r="G25" s="51" t="s">
        <v>77</v>
      </c>
      <c r="H25" s="46" t="e">
        <f ca="1">_xlfn.XLOOKUP("Person 3", D:D, E:E)</f>
        <v>#NAME?</v>
      </c>
      <c r="J25" s="53">
        <f>MATCH("Laptop",B2:B21,0)</f>
        <v>13</v>
      </c>
      <c r="K25" s="2"/>
      <c r="L25" s="54">
        <f>SUM(E2:E21)</f>
        <v>507725</v>
      </c>
      <c r="M25" s="2"/>
      <c r="N25" s="2"/>
      <c r="O25" s="2"/>
      <c r="P25" s="2"/>
      <c r="Q25" s="2"/>
      <c r="R25" s="2"/>
      <c r="S25" s="2"/>
      <c r="T25" s="2"/>
      <c r="U25" s="2"/>
      <c r="V25" s="2"/>
      <c r="W25" s="2"/>
      <c r="X25" s="2"/>
      <c r="Y25" s="2"/>
      <c r="Z25" s="2"/>
    </row>
    <row r="26" spans="1:26" ht="15.75" customHeight="1" x14ac:dyDescent="0.3">
      <c r="A26" s="45" t="s">
        <v>74</v>
      </c>
      <c r="B26" s="46">
        <f>SUMIF(C3:C22, "West", E3:E22)</f>
        <v>119978</v>
      </c>
      <c r="C26" s="2"/>
      <c r="D26" s="45" t="s">
        <v>73</v>
      </c>
      <c r="E26" s="46">
        <f>SUMIF(B2:B21,D26, E2:E21)</f>
        <v>76391</v>
      </c>
      <c r="F26" s="2"/>
      <c r="G26" s="45" t="s">
        <v>82</v>
      </c>
      <c r="H26" s="46">
        <f>_xlfn.XLOOKUP("Person 6", D2:D21, E2:E21)</f>
        <v>19757</v>
      </c>
      <c r="K26" s="2"/>
      <c r="L26" s="2"/>
      <c r="M26" s="2"/>
      <c r="N26" s="2"/>
      <c r="O26" s="2"/>
      <c r="P26" s="2"/>
      <c r="Q26" s="2"/>
      <c r="R26" s="2"/>
      <c r="S26" s="2"/>
      <c r="T26" s="2"/>
      <c r="U26" s="2"/>
      <c r="V26" s="2"/>
      <c r="W26" s="2"/>
      <c r="X26" s="2"/>
      <c r="Y26" s="2"/>
      <c r="Z26" s="2"/>
    </row>
    <row r="27" spans="1:26" ht="15.75" customHeight="1" thickBot="1" x14ac:dyDescent="0.35">
      <c r="A27" s="45" t="s">
        <v>80</v>
      </c>
      <c r="B27" s="46">
        <f>SUMIF(C4:C23, "North", E4:E23)</f>
        <v>140627</v>
      </c>
      <c r="C27" s="2"/>
      <c r="D27" s="45" t="s">
        <v>76</v>
      </c>
      <c r="E27" s="46">
        <f>SUMIF(B2:B21,D27, E2:E21)</f>
        <v>111200</v>
      </c>
      <c r="F27" s="2"/>
      <c r="G27" s="47" t="s">
        <v>97</v>
      </c>
      <c r="H27" s="48">
        <f>_xlfn.XLOOKUP("Person 19", D3:D22, E3:E22)</f>
        <v>30436</v>
      </c>
      <c r="K27" s="2"/>
      <c r="L27" s="2"/>
      <c r="M27" s="2"/>
      <c r="N27" s="2"/>
      <c r="O27" s="2"/>
      <c r="P27" s="2"/>
      <c r="Q27" s="2"/>
      <c r="R27" s="2"/>
      <c r="S27" s="2"/>
      <c r="T27" s="2"/>
      <c r="U27" s="2"/>
      <c r="V27" s="2"/>
      <c r="W27" s="2"/>
      <c r="X27" s="2"/>
      <c r="Y27" s="2"/>
      <c r="Z27" s="2"/>
    </row>
    <row r="28" spans="1:26" ht="15.75" customHeight="1" thickBot="1" x14ac:dyDescent="0.35">
      <c r="A28" s="47" t="s">
        <v>71</v>
      </c>
      <c r="B28" s="48">
        <f>SUMIF(C4:C23, "South", E4:E23)</f>
        <v>66140</v>
      </c>
      <c r="C28" s="2"/>
      <c r="D28" s="45" t="s">
        <v>90</v>
      </c>
      <c r="E28" s="46">
        <f>SUMIF(B2:B21,D28, E2:E21)</f>
        <v>38521</v>
      </c>
      <c r="F28" s="2"/>
      <c r="G28" s="2"/>
      <c r="H28" s="2"/>
      <c r="I28" s="2"/>
      <c r="K28" s="2"/>
      <c r="L28" s="2"/>
      <c r="M28" s="2"/>
      <c r="N28" s="2"/>
      <c r="O28" s="2"/>
      <c r="P28" s="2"/>
      <c r="Q28" s="2"/>
      <c r="R28" s="2"/>
      <c r="S28" s="2"/>
      <c r="T28" s="2"/>
      <c r="U28" s="2"/>
      <c r="V28" s="2"/>
      <c r="W28" s="2"/>
      <c r="X28" s="2"/>
      <c r="Y28" s="2"/>
      <c r="Z28" s="2"/>
    </row>
    <row r="29" spans="1:26" ht="15.75" customHeight="1" thickBot="1" x14ac:dyDescent="0.35">
      <c r="A29" s="2"/>
      <c r="B29" s="2"/>
      <c r="C29" s="2"/>
      <c r="D29" s="47" t="s">
        <v>88</v>
      </c>
      <c r="E29" s="48">
        <f>SUMIF(B3:B22,D29, E3:E22)</f>
        <v>115643</v>
      </c>
      <c r="F29" s="2"/>
      <c r="G29" s="2"/>
      <c r="H29" s="2"/>
      <c r="I29" s="2"/>
      <c r="K29" s="2"/>
      <c r="L29" s="2"/>
      <c r="M29" s="2"/>
      <c r="N29" s="2"/>
      <c r="O29" s="2"/>
      <c r="P29" s="2"/>
      <c r="Q29" s="2"/>
      <c r="R29" s="2"/>
      <c r="S29" s="2"/>
      <c r="T29" s="2"/>
      <c r="U29" s="2"/>
      <c r="V29" s="2"/>
      <c r="W29" s="2"/>
      <c r="X29" s="2"/>
      <c r="Y29" s="2"/>
      <c r="Z29" s="2"/>
    </row>
    <row r="30" spans="1:26" ht="15.75" customHeight="1" x14ac:dyDescent="0.3">
      <c r="A30" s="2"/>
      <c r="B30" s="2"/>
      <c r="C30" s="2"/>
      <c r="D30" s="2"/>
      <c r="E30" s="2"/>
      <c r="F30" s="2"/>
      <c r="G30" s="2"/>
      <c r="H30" s="2"/>
      <c r="I30" s="2"/>
      <c r="K30" s="2"/>
      <c r="L30" s="2"/>
      <c r="M30" s="2"/>
      <c r="N30" s="2"/>
      <c r="O30" s="2"/>
      <c r="P30" s="2"/>
      <c r="Q30" s="2"/>
      <c r="R30" s="2"/>
      <c r="S30" s="2"/>
      <c r="T30" s="2"/>
      <c r="U30" s="2"/>
      <c r="V30" s="2"/>
      <c r="W30" s="2"/>
      <c r="X30" s="2"/>
      <c r="Y30" s="2"/>
      <c r="Z30" s="2"/>
    </row>
    <row r="31" spans="1:26" ht="15.75" customHeight="1" x14ac:dyDescent="0.3">
      <c r="A31" s="2"/>
      <c r="B31" s="2"/>
      <c r="C31" s="2"/>
      <c r="D31" s="2"/>
      <c r="E31" s="2"/>
      <c r="F31" s="2"/>
      <c r="G31" s="2"/>
      <c r="H31" s="2"/>
      <c r="I31" s="2"/>
      <c r="K31" s="2"/>
      <c r="L31" s="2"/>
      <c r="M31" s="2"/>
      <c r="N31" s="2"/>
      <c r="O31" s="2"/>
      <c r="P31" s="2"/>
      <c r="Q31" s="2"/>
      <c r="R31" s="2"/>
      <c r="S31" s="2"/>
      <c r="T31" s="2"/>
      <c r="U31" s="2"/>
      <c r="V31" s="2"/>
      <c r="W31" s="2"/>
      <c r="X31" s="2"/>
      <c r="Y31" s="2"/>
      <c r="Z31" s="2"/>
    </row>
    <row r="32" spans="1:26" ht="15.75" customHeight="1" x14ac:dyDescent="0.3">
      <c r="A32" s="2"/>
      <c r="B32" s="2"/>
      <c r="C32" s="2"/>
      <c r="D32" s="2"/>
      <c r="E32" s="2"/>
      <c r="F32" s="2"/>
      <c r="G32" s="2"/>
      <c r="H32" s="2"/>
      <c r="I32" s="2"/>
      <c r="K32" s="2"/>
      <c r="L32" s="2"/>
      <c r="M32" s="2"/>
      <c r="N32" s="2"/>
      <c r="O32" s="2"/>
      <c r="P32" s="2"/>
      <c r="Q32" s="2"/>
      <c r="R32" s="2"/>
      <c r="S32" s="2"/>
      <c r="T32" s="2"/>
      <c r="U32" s="2"/>
      <c r="V32" s="2"/>
      <c r="W32" s="2"/>
      <c r="X32" s="2"/>
      <c r="Y32" s="2"/>
      <c r="Z32" s="2"/>
    </row>
    <row r="33" spans="1:26" ht="15.75" customHeight="1" x14ac:dyDescent="0.3">
      <c r="A33" s="2"/>
      <c r="B33" s="2"/>
      <c r="C33" s="2"/>
      <c r="D33" s="2"/>
      <c r="E33" s="2"/>
      <c r="F33" s="2"/>
      <c r="G33" s="2"/>
      <c r="H33" s="2"/>
      <c r="I33" s="2"/>
      <c r="K33" s="2"/>
      <c r="L33" s="2"/>
      <c r="M33" s="2"/>
      <c r="N33" s="2"/>
      <c r="O33" s="2"/>
      <c r="P33" s="2"/>
      <c r="Q33" s="2"/>
      <c r="R33" s="2"/>
      <c r="S33" s="2"/>
      <c r="T33" s="2"/>
      <c r="U33" s="2"/>
      <c r="V33" s="2"/>
      <c r="W33" s="2"/>
      <c r="X33" s="2"/>
      <c r="Y33" s="2"/>
      <c r="Z33" s="2"/>
    </row>
    <row r="34" spans="1:26" ht="15.75" customHeight="1" x14ac:dyDescent="0.3">
      <c r="A34" s="2"/>
      <c r="B34" s="2"/>
      <c r="C34" s="2"/>
      <c r="D34" s="2"/>
      <c r="E34" s="2"/>
      <c r="F34" s="2"/>
      <c r="G34" s="2"/>
      <c r="H34" s="2"/>
      <c r="I34" s="2"/>
      <c r="K34" s="2"/>
      <c r="L34" s="2"/>
      <c r="M34" s="2"/>
      <c r="N34" s="2"/>
      <c r="O34" s="2"/>
      <c r="P34" s="2"/>
      <c r="Q34" s="2"/>
      <c r="R34" s="2"/>
      <c r="S34" s="2"/>
      <c r="T34" s="2"/>
      <c r="U34" s="2"/>
      <c r="V34" s="2"/>
      <c r="W34" s="2"/>
      <c r="X34" s="2"/>
      <c r="Y34" s="2"/>
      <c r="Z34" s="2"/>
    </row>
    <row r="35" spans="1:26" ht="15.75" customHeight="1" x14ac:dyDescent="0.3">
      <c r="A35" s="2"/>
      <c r="B35" s="2"/>
      <c r="C35" s="2"/>
      <c r="D35" s="2"/>
      <c r="E35" s="2"/>
      <c r="F35" s="2"/>
      <c r="G35" s="2"/>
      <c r="H35" s="2"/>
      <c r="I35" s="2"/>
      <c r="K35" s="2"/>
      <c r="L35" s="2"/>
      <c r="M35" s="2"/>
      <c r="N35" s="2"/>
      <c r="O35" s="2"/>
      <c r="P35" s="2"/>
      <c r="Q35" s="2"/>
      <c r="R35" s="2"/>
      <c r="S35" s="2"/>
      <c r="T35" s="2"/>
      <c r="U35" s="2"/>
      <c r="V35" s="2"/>
      <c r="W35" s="2"/>
      <c r="X35" s="2"/>
      <c r="Y35" s="2"/>
      <c r="Z35" s="2"/>
    </row>
    <row r="36" spans="1:26" ht="15.75" customHeight="1" x14ac:dyDescent="0.3">
      <c r="A36" s="2"/>
      <c r="B36" s="2"/>
      <c r="C36" s="2"/>
      <c r="D36" s="2"/>
      <c r="E36" s="2"/>
      <c r="F36" s="2"/>
      <c r="G36" s="2"/>
      <c r="H36" s="2"/>
      <c r="I36" s="2"/>
      <c r="K36" s="2"/>
      <c r="L36" s="2"/>
      <c r="M36" s="2"/>
      <c r="N36" s="2"/>
      <c r="O36" s="2"/>
      <c r="P36" s="2"/>
      <c r="Q36" s="2"/>
      <c r="R36" s="2"/>
      <c r="S36" s="2"/>
      <c r="T36" s="2"/>
      <c r="U36" s="2"/>
      <c r="V36" s="2"/>
      <c r="W36" s="2"/>
      <c r="X36" s="2"/>
      <c r="Y36" s="2"/>
      <c r="Z36" s="2"/>
    </row>
    <row r="37" spans="1:26" ht="15.75" customHeight="1" x14ac:dyDescent="0.3">
      <c r="A37" s="2"/>
      <c r="B37" s="2"/>
      <c r="C37" s="2"/>
      <c r="D37" s="2"/>
      <c r="E37" s="2"/>
      <c r="F37" s="2"/>
      <c r="G37" s="2"/>
      <c r="H37" s="2"/>
      <c r="I37" s="2"/>
      <c r="K37" s="2"/>
      <c r="L37" s="2"/>
      <c r="M37" s="2"/>
      <c r="N37" s="2"/>
      <c r="O37" s="2"/>
      <c r="P37" s="2"/>
      <c r="Q37" s="2"/>
      <c r="R37" s="2"/>
      <c r="S37" s="2"/>
      <c r="T37" s="2"/>
      <c r="U37" s="2"/>
      <c r="V37" s="2"/>
      <c r="W37" s="2"/>
      <c r="X37" s="2"/>
      <c r="Y37" s="2"/>
      <c r="Z37" s="2"/>
    </row>
    <row r="38" spans="1:26" ht="15.75" customHeight="1" x14ac:dyDescent="0.3">
      <c r="A38" s="2"/>
      <c r="B38" s="2"/>
      <c r="C38" s="2"/>
      <c r="D38" s="2"/>
      <c r="E38" s="2"/>
      <c r="F38" s="2"/>
      <c r="G38" s="2"/>
      <c r="H38" s="2"/>
      <c r="I38" s="2"/>
      <c r="K38" s="2"/>
      <c r="L38" s="2"/>
      <c r="M38" s="2"/>
      <c r="N38" s="2"/>
      <c r="O38" s="2"/>
      <c r="P38" s="2"/>
      <c r="Q38" s="2"/>
      <c r="R38" s="2"/>
      <c r="S38" s="2"/>
      <c r="T38" s="2"/>
      <c r="U38" s="2"/>
      <c r="V38" s="2"/>
      <c r="W38" s="2"/>
      <c r="X38" s="2"/>
      <c r="Y38" s="2"/>
      <c r="Z38" s="2"/>
    </row>
    <row r="39" spans="1:26" ht="15.75" customHeight="1" x14ac:dyDescent="0.3">
      <c r="A39" s="2"/>
      <c r="B39" s="2"/>
      <c r="C39" s="2"/>
      <c r="D39" s="2"/>
      <c r="E39" s="2"/>
      <c r="F39" s="2"/>
      <c r="G39" s="2"/>
      <c r="H39" s="2"/>
      <c r="I39" s="2"/>
      <c r="K39" s="2"/>
      <c r="L39" s="2"/>
      <c r="M39" s="2"/>
      <c r="N39" s="2"/>
      <c r="O39" s="2"/>
      <c r="P39" s="2"/>
      <c r="Q39" s="2"/>
      <c r="R39" s="2"/>
      <c r="S39" s="2"/>
      <c r="T39" s="2"/>
      <c r="U39" s="2"/>
      <c r="V39" s="2"/>
      <c r="W39" s="2"/>
      <c r="X39" s="2"/>
      <c r="Y39" s="2"/>
      <c r="Z39" s="2"/>
    </row>
    <row r="40" spans="1:26" ht="15.75" customHeight="1" x14ac:dyDescent="0.3">
      <c r="A40" s="2"/>
      <c r="B40" s="2"/>
      <c r="C40" s="2"/>
      <c r="D40" s="2"/>
      <c r="E40" s="2"/>
      <c r="F40" s="2"/>
      <c r="G40" s="2"/>
      <c r="H40" s="2"/>
      <c r="I40" s="2"/>
      <c r="K40" s="2"/>
      <c r="L40" s="2"/>
      <c r="M40" s="2"/>
      <c r="N40" s="2"/>
      <c r="O40" s="2"/>
      <c r="P40" s="2"/>
      <c r="Q40" s="2"/>
      <c r="R40" s="2"/>
      <c r="S40" s="2"/>
      <c r="T40" s="2"/>
      <c r="U40" s="2"/>
      <c r="V40" s="2"/>
      <c r="W40" s="2"/>
      <c r="X40" s="2"/>
      <c r="Y40" s="2"/>
      <c r="Z40" s="2"/>
    </row>
    <row r="41" spans="1:26" ht="15.75" customHeight="1" x14ac:dyDescent="0.3">
      <c r="A41" s="2"/>
      <c r="B41" s="2"/>
      <c r="C41" s="2"/>
      <c r="D41" s="2"/>
      <c r="E41" s="2"/>
      <c r="F41" s="2"/>
      <c r="G41" s="2"/>
      <c r="H41" s="2"/>
      <c r="I41" s="2"/>
      <c r="K41" s="2"/>
      <c r="L41" s="2"/>
      <c r="M41" s="2"/>
      <c r="N41" s="2"/>
      <c r="O41" s="2"/>
      <c r="P41" s="2"/>
      <c r="Q41" s="2"/>
      <c r="R41" s="2"/>
      <c r="S41" s="2"/>
      <c r="T41" s="2"/>
      <c r="U41" s="2"/>
      <c r="V41" s="2"/>
      <c r="W41" s="2"/>
      <c r="X41" s="2"/>
      <c r="Y41" s="2"/>
      <c r="Z41" s="2"/>
    </row>
    <row r="42" spans="1:26" ht="15.75" customHeight="1" x14ac:dyDescent="0.3">
      <c r="A42" s="2"/>
      <c r="B42" s="2"/>
      <c r="C42" s="2"/>
      <c r="D42" s="2"/>
      <c r="E42" s="2"/>
      <c r="F42" s="2"/>
      <c r="G42" s="2"/>
      <c r="H42" s="2"/>
      <c r="I42" s="2"/>
      <c r="K42" s="2"/>
      <c r="L42" s="2"/>
      <c r="M42" s="2"/>
      <c r="N42" s="2"/>
      <c r="O42" s="2"/>
      <c r="P42" s="2"/>
      <c r="Q42" s="2"/>
      <c r="R42" s="2"/>
      <c r="S42" s="2"/>
      <c r="T42" s="2"/>
      <c r="U42" s="2"/>
      <c r="V42" s="2"/>
      <c r="W42" s="2"/>
      <c r="X42" s="2"/>
      <c r="Y42" s="2"/>
      <c r="Z42" s="2"/>
    </row>
    <row r="43" spans="1:26" ht="15.75" customHeight="1" x14ac:dyDescent="0.3">
      <c r="A43" s="2"/>
      <c r="B43" s="2"/>
      <c r="C43" s="2"/>
      <c r="D43" s="2"/>
      <c r="E43" s="2"/>
      <c r="F43" s="2"/>
      <c r="G43" s="2"/>
      <c r="H43" s="2"/>
      <c r="I43" s="2"/>
      <c r="K43" s="2"/>
      <c r="L43" s="2"/>
      <c r="M43" s="2"/>
      <c r="N43" s="2"/>
      <c r="O43" s="2"/>
      <c r="P43" s="2"/>
      <c r="Q43" s="2"/>
      <c r="R43" s="2"/>
      <c r="S43" s="2"/>
      <c r="T43" s="2"/>
      <c r="U43" s="2"/>
      <c r="V43" s="2"/>
      <c r="W43" s="2"/>
      <c r="X43" s="2"/>
      <c r="Y43" s="2"/>
      <c r="Z43" s="2"/>
    </row>
    <row r="44" spans="1:26" ht="15.75" customHeight="1" x14ac:dyDescent="0.3">
      <c r="A44" s="2"/>
      <c r="B44" s="2"/>
      <c r="C44" s="2"/>
      <c r="D44" s="2"/>
      <c r="E44" s="2"/>
      <c r="F44" s="2"/>
      <c r="G44" s="2"/>
      <c r="H44" s="2"/>
      <c r="I44" s="2"/>
      <c r="K44" s="2"/>
      <c r="L44" s="2"/>
      <c r="M44" s="2"/>
      <c r="N44" s="2"/>
      <c r="O44" s="2"/>
      <c r="P44" s="2"/>
      <c r="Q44" s="2"/>
      <c r="R44" s="2"/>
      <c r="S44" s="2"/>
      <c r="T44" s="2"/>
      <c r="U44" s="2"/>
      <c r="V44" s="2"/>
      <c r="W44" s="2"/>
      <c r="X44" s="2"/>
      <c r="Y44" s="2"/>
      <c r="Z44" s="2"/>
    </row>
    <row r="45" spans="1:26" ht="15.75" customHeight="1" x14ac:dyDescent="0.3">
      <c r="A45" s="2"/>
      <c r="B45" s="2"/>
      <c r="C45" s="2"/>
      <c r="D45" s="2"/>
      <c r="E45" s="2"/>
      <c r="F45" s="2"/>
      <c r="G45" s="2"/>
      <c r="H45" s="2"/>
      <c r="I45" s="2"/>
      <c r="K45" s="2"/>
      <c r="L45" s="2"/>
      <c r="M45" s="2"/>
      <c r="N45" s="2"/>
      <c r="O45" s="2"/>
      <c r="P45" s="2"/>
      <c r="Q45" s="2"/>
      <c r="R45" s="2"/>
      <c r="S45" s="2"/>
      <c r="T45" s="2"/>
      <c r="U45" s="2"/>
      <c r="V45" s="2"/>
      <c r="W45" s="2"/>
      <c r="X45" s="2"/>
      <c r="Y45" s="2"/>
      <c r="Z45" s="2"/>
    </row>
    <row r="46" spans="1:26" ht="15.75" customHeight="1" x14ac:dyDescent="0.3">
      <c r="A46" s="2"/>
      <c r="B46" s="2"/>
      <c r="C46" s="2"/>
      <c r="D46" s="2"/>
      <c r="E46" s="2"/>
      <c r="F46" s="2"/>
      <c r="G46" s="2"/>
      <c r="H46" s="2"/>
      <c r="I46" s="2"/>
      <c r="K46" s="2"/>
      <c r="L46" s="2"/>
      <c r="M46" s="2"/>
      <c r="N46" s="2"/>
      <c r="O46" s="2"/>
      <c r="P46" s="2"/>
      <c r="Q46" s="2"/>
      <c r="R46" s="2"/>
      <c r="S46" s="2"/>
      <c r="T46" s="2"/>
      <c r="U46" s="2"/>
      <c r="V46" s="2"/>
      <c r="W46" s="2"/>
      <c r="X46" s="2"/>
      <c r="Y46" s="2"/>
      <c r="Z46" s="2"/>
    </row>
    <row r="47" spans="1:26" ht="15.75" customHeight="1" x14ac:dyDescent="0.3">
      <c r="A47" s="2"/>
      <c r="B47" s="2"/>
      <c r="C47" s="2"/>
      <c r="D47" s="2"/>
      <c r="E47" s="2"/>
      <c r="F47" s="2"/>
      <c r="G47" s="2"/>
      <c r="H47" s="2"/>
      <c r="I47" s="2"/>
      <c r="K47" s="2"/>
      <c r="L47" s="2"/>
      <c r="M47" s="2"/>
      <c r="N47" s="2"/>
      <c r="O47" s="2"/>
      <c r="P47" s="2"/>
      <c r="Q47" s="2"/>
      <c r="R47" s="2"/>
      <c r="S47" s="2"/>
      <c r="T47" s="2"/>
      <c r="U47" s="2"/>
      <c r="V47" s="2"/>
      <c r="W47" s="2"/>
      <c r="X47" s="2"/>
      <c r="Y47" s="2"/>
      <c r="Z47" s="2"/>
    </row>
    <row r="48" spans="1:26" ht="15.75" customHeight="1" x14ac:dyDescent="0.3">
      <c r="A48" s="2"/>
      <c r="B48" s="2"/>
      <c r="C48" s="2"/>
      <c r="D48" s="2"/>
      <c r="E48" s="2"/>
      <c r="F48" s="2"/>
      <c r="G48" s="2"/>
      <c r="H48" s="2"/>
      <c r="I48" s="2"/>
      <c r="K48" s="2"/>
      <c r="L48" s="2"/>
      <c r="M48" s="2"/>
      <c r="N48" s="2"/>
      <c r="O48" s="2"/>
      <c r="P48" s="2"/>
      <c r="Q48" s="2"/>
      <c r="R48" s="2"/>
      <c r="S48" s="2"/>
      <c r="T48" s="2"/>
      <c r="U48" s="2"/>
      <c r="V48" s="2"/>
      <c r="W48" s="2"/>
      <c r="X48" s="2"/>
      <c r="Y48" s="2"/>
      <c r="Z48" s="2"/>
    </row>
    <row r="49" spans="1:26" ht="15.75" customHeight="1" x14ac:dyDescent="0.3">
      <c r="A49" s="2"/>
      <c r="B49" s="2"/>
      <c r="C49" s="2"/>
      <c r="D49" s="2"/>
      <c r="E49" s="2"/>
      <c r="F49" s="2"/>
      <c r="G49" s="2"/>
      <c r="H49" s="2"/>
      <c r="I49" s="2"/>
      <c r="K49" s="2"/>
      <c r="L49" s="2"/>
      <c r="M49" s="2"/>
      <c r="N49" s="2"/>
      <c r="O49" s="2"/>
      <c r="P49" s="2"/>
      <c r="Q49" s="2"/>
      <c r="R49" s="2"/>
      <c r="S49" s="2"/>
      <c r="T49" s="2"/>
      <c r="U49" s="2"/>
      <c r="V49" s="2"/>
      <c r="W49" s="2"/>
      <c r="X49" s="2"/>
      <c r="Y49" s="2"/>
      <c r="Z49" s="2"/>
    </row>
    <row r="50" spans="1:26" ht="15.75" customHeight="1" x14ac:dyDescent="0.3">
      <c r="A50" s="2"/>
      <c r="B50" s="2"/>
      <c r="C50" s="2"/>
      <c r="D50" s="2"/>
      <c r="E50" s="2"/>
      <c r="F50" s="2"/>
      <c r="G50" s="2"/>
      <c r="H50" s="2"/>
      <c r="I50" s="2"/>
      <c r="K50" s="2"/>
      <c r="L50" s="2"/>
      <c r="M50" s="2"/>
      <c r="N50" s="2"/>
      <c r="O50" s="2"/>
      <c r="P50" s="2"/>
      <c r="Q50" s="2"/>
      <c r="R50" s="2"/>
      <c r="S50" s="2"/>
      <c r="T50" s="2"/>
      <c r="U50" s="2"/>
      <c r="V50" s="2"/>
      <c r="W50" s="2"/>
      <c r="X50" s="2"/>
      <c r="Y50" s="2"/>
      <c r="Z50" s="2"/>
    </row>
    <row r="51" spans="1:26" ht="15.75" customHeight="1" x14ac:dyDescent="0.3">
      <c r="A51" s="2"/>
      <c r="B51" s="2"/>
      <c r="C51" s="2"/>
      <c r="D51" s="2"/>
      <c r="E51" s="2"/>
      <c r="F51" s="2"/>
      <c r="G51" s="2"/>
      <c r="H51" s="2"/>
      <c r="I51" s="2"/>
      <c r="K51" s="2"/>
      <c r="L51" s="2"/>
      <c r="M51" s="2"/>
      <c r="N51" s="2"/>
      <c r="O51" s="2"/>
      <c r="P51" s="2"/>
      <c r="Q51" s="2"/>
      <c r="R51" s="2"/>
      <c r="S51" s="2"/>
      <c r="T51" s="2"/>
      <c r="U51" s="2"/>
      <c r="V51" s="2"/>
      <c r="W51" s="2"/>
      <c r="X51" s="2"/>
      <c r="Y51" s="2"/>
      <c r="Z51" s="2"/>
    </row>
    <row r="52" spans="1:26" ht="15.75" customHeight="1" x14ac:dyDescent="0.3">
      <c r="A52" s="2"/>
      <c r="B52" s="2"/>
      <c r="C52" s="2"/>
      <c r="D52" s="2"/>
      <c r="E52" s="2"/>
      <c r="F52" s="2"/>
      <c r="G52" s="2"/>
      <c r="H52" s="2"/>
      <c r="I52" s="2"/>
      <c r="K52" s="2"/>
      <c r="L52" s="2"/>
      <c r="M52" s="2"/>
      <c r="N52" s="2"/>
      <c r="O52" s="2"/>
      <c r="P52" s="2"/>
      <c r="Q52" s="2"/>
      <c r="R52" s="2"/>
      <c r="S52" s="2"/>
      <c r="T52" s="2"/>
      <c r="U52" s="2"/>
      <c r="V52" s="2"/>
      <c r="W52" s="2"/>
      <c r="X52" s="2"/>
      <c r="Y52" s="2"/>
      <c r="Z52" s="2"/>
    </row>
    <row r="53" spans="1:26" ht="15.75" customHeight="1" x14ac:dyDescent="0.3">
      <c r="A53" s="2"/>
      <c r="B53" s="2"/>
      <c r="C53" s="2"/>
      <c r="D53" s="2"/>
      <c r="E53" s="2"/>
      <c r="F53" s="2"/>
      <c r="G53" s="2"/>
      <c r="H53" s="2"/>
      <c r="I53" s="2"/>
      <c r="K53" s="2"/>
      <c r="L53" s="2"/>
      <c r="M53" s="2"/>
      <c r="N53" s="2"/>
      <c r="O53" s="2"/>
      <c r="P53" s="2"/>
      <c r="Q53" s="2"/>
      <c r="R53" s="2"/>
      <c r="S53" s="2"/>
      <c r="T53" s="2"/>
      <c r="U53" s="2"/>
      <c r="V53" s="2"/>
      <c r="W53" s="2"/>
      <c r="X53" s="2"/>
      <c r="Y53" s="2"/>
      <c r="Z53" s="2"/>
    </row>
    <row r="54" spans="1:26" ht="15.75" customHeight="1" x14ac:dyDescent="0.3">
      <c r="A54" s="2"/>
      <c r="B54" s="2"/>
      <c r="C54" s="2"/>
      <c r="D54" s="2"/>
      <c r="E54" s="2"/>
      <c r="F54" s="2"/>
      <c r="G54" s="2"/>
      <c r="H54" s="2"/>
      <c r="I54" s="2"/>
      <c r="K54" s="2"/>
      <c r="L54" s="2"/>
      <c r="M54" s="2"/>
      <c r="N54" s="2"/>
      <c r="O54" s="2"/>
      <c r="P54" s="2"/>
      <c r="Q54" s="2"/>
      <c r="R54" s="2"/>
      <c r="S54" s="2"/>
      <c r="T54" s="2"/>
      <c r="U54" s="2"/>
      <c r="V54" s="2"/>
      <c r="W54" s="2"/>
      <c r="X54" s="2"/>
      <c r="Y54" s="2"/>
      <c r="Z54" s="2"/>
    </row>
    <row r="55" spans="1:26" ht="15.75" customHeight="1" x14ac:dyDescent="0.3">
      <c r="A55" s="2"/>
      <c r="B55" s="2"/>
      <c r="C55" s="2"/>
      <c r="D55" s="2"/>
      <c r="E55" s="2"/>
      <c r="F55" s="2"/>
      <c r="G55" s="2"/>
      <c r="H55" s="2"/>
      <c r="I55" s="2"/>
      <c r="K55" s="2"/>
      <c r="L55" s="2"/>
      <c r="M55" s="2"/>
      <c r="N55" s="2"/>
      <c r="O55" s="2"/>
      <c r="P55" s="2"/>
      <c r="Q55" s="2"/>
      <c r="R55" s="2"/>
      <c r="S55" s="2"/>
      <c r="T55" s="2"/>
      <c r="U55" s="2"/>
      <c r="V55" s="2"/>
      <c r="W55" s="2"/>
      <c r="X55" s="2"/>
      <c r="Y55" s="2"/>
      <c r="Z55" s="2"/>
    </row>
    <row r="56" spans="1:26" ht="15.75" customHeight="1" x14ac:dyDescent="0.3">
      <c r="A56" s="2"/>
      <c r="B56" s="2"/>
      <c r="C56" s="2"/>
      <c r="D56" s="2"/>
      <c r="E56" s="2"/>
      <c r="F56" s="2"/>
      <c r="G56" s="2"/>
      <c r="H56" s="2"/>
      <c r="I56" s="2"/>
      <c r="K56" s="2"/>
      <c r="L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K57" s="2"/>
      <c r="L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K924" s="2"/>
      <c r="L924" s="2"/>
      <c r="M924" s="2"/>
      <c r="N924" s="2"/>
      <c r="O924" s="2"/>
      <c r="P924" s="2"/>
      <c r="Q924" s="2"/>
      <c r="R924" s="2"/>
      <c r="S924" s="2"/>
      <c r="T924" s="2"/>
      <c r="U924" s="2"/>
      <c r="V924" s="2"/>
      <c r="W924" s="2"/>
      <c r="X924" s="2"/>
      <c r="Y924" s="2"/>
      <c r="Z924" s="2"/>
    </row>
    <row r="925" spans="1:26" ht="15.75" customHeight="1" x14ac:dyDescent="0.3">
      <c r="A925" s="2"/>
      <c r="B925" s="2"/>
      <c r="C925" s="2"/>
      <c r="D925" s="2"/>
      <c r="E925" s="2"/>
      <c r="F925" s="2"/>
      <c r="G925" s="2"/>
      <c r="H925" s="2"/>
      <c r="I925" s="2"/>
      <c r="K925" s="2"/>
      <c r="L925" s="2"/>
      <c r="M925" s="2"/>
      <c r="N925" s="2"/>
      <c r="O925" s="2"/>
      <c r="P925" s="2"/>
      <c r="Q925" s="2"/>
      <c r="R925" s="2"/>
      <c r="S925" s="2"/>
      <c r="T925" s="2"/>
      <c r="U925" s="2"/>
      <c r="V925" s="2"/>
      <c r="W925" s="2"/>
      <c r="X925" s="2"/>
      <c r="Y925" s="2"/>
      <c r="Z925" s="2"/>
    </row>
    <row r="926" spans="1:26" ht="15.75" customHeight="1" x14ac:dyDescent="0.3">
      <c r="A926" s="2"/>
      <c r="B926" s="2"/>
      <c r="C926" s="2"/>
      <c r="D926" s="2"/>
      <c r="E926" s="2"/>
      <c r="F926" s="2"/>
      <c r="G926" s="2"/>
      <c r="H926" s="2"/>
      <c r="I926" s="2"/>
      <c r="K926" s="2"/>
      <c r="L926" s="2"/>
      <c r="M926" s="2"/>
      <c r="N926" s="2"/>
      <c r="O926" s="2"/>
      <c r="P926" s="2"/>
      <c r="Q926" s="2"/>
      <c r="R926" s="2"/>
      <c r="S926" s="2"/>
      <c r="T926" s="2"/>
      <c r="U926" s="2"/>
      <c r="V926" s="2"/>
      <c r="W926" s="2"/>
      <c r="X926" s="2"/>
      <c r="Y926" s="2"/>
      <c r="Z926" s="2"/>
    </row>
    <row r="927" spans="1:26" ht="15.75" customHeight="1" x14ac:dyDescent="0.3">
      <c r="A927" s="2"/>
      <c r="B927" s="2"/>
      <c r="C927" s="2"/>
      <c r="D927" s="2"/>
      <c r="E927" s="2"/>
      <c r="F927" s="2"/>
      <c r="G927" s="2"/>
      <c r="H927" s="2"/>
      <c r="I927" s="2"/>
      <c r="K927" s="2"/>
      <c r="L927" s="2"/>
      <c r="M927" s="2"/>
      <c r="N927" s="2"/>
      <c r="O927" s="2"/>
      <c r="P927" s="2"/>
      <c r="Q927" s="2"/>
      <c r="R927" s="2"/>
      <c r="S927" s="2"/>
      <c r="T927" s="2"/>
      <c r="U927" s="2"/>
      <c r="V927" s="2"/>
      <c r="W927" s="2"/>
      <c r="X927" s="2"/>
      <c r="Y927" s="2"/>
      <c r="Z927" s="2"/>
    </row>
    <row r="928" spans="1:26" ht="15.75" customHeight="1" x14ac:dyDescent="0.3">
      <c r="A928" s="2"/>
      <c r="B928" s="2"/>
      <c r="C928" s="2"/>
      <c r="D928" s="2"/>
      <c r="E928" s="2"/>
      <c r="F928" s="2"/>
      <c r="G928" s="2"/>
      <c r="H928" s="2"/>
      <c r="I928" s="2"/>
      <c r="K928" s="2"/>
      <c r="L928" s="2"/>
      <c r="M928" s="2"/>
      <c r="N928" s="2"/>
      <c r="O928" s="2"/>
      <c r="P928" s="2"/>
      <c r="Q928" s="2"/>
      <c r="R928" s="2"/>
      <c r="S928" s="2"/>
      <c r="T928" s="2"/>
      <c r="U928" s="2"/>
      <c r="V928" s="2"/>
      <c r="W928" s="2"/>
      <c r="X928" s="2"/>
      <c r="Y928" s="2"/>
      <c r="Z928" s="2"/>
    </row>
    <row r="929" spans="1:26" ht="15.75" customHeight="1" x14ac:dyDescent="0.3">
      <c r="A929" s="2"/>
      <c r="B929" s="2"/>
      <c r="C929" s="2"/>
      <c r="D929" s="2"/>
      <c r="E929" s="2"/>
      <c r="F929" s="2"/>
      <c r="G929" s="2"/>
      <c r="H929" s="2"/>
      <c r="I929" s="2"/>
      <c r="K929" s="2"/>
      <c r="L929" s="2"/>
      <c r="M929" s="2"/>
      <c r="N929" s="2"/>
      <c r="O929" s="2"/>
      <c r="P929" s="2"/>
      <c r="Q929" s="2"/>
      <c r="R929" s="2"/>
      <c r="S929" s="2"/>
      <c r="T929" s="2"/>
      <c r="U929" s="2"/>
      <c r="V929" s="2"/>
      <c r="W929" s="2"/>
      <c r="X929" s="2"/>
      <c r="Y929" s="2"/>
      <c r="Z929" s="2"/>
    </row>
    <row r="930" spans="1:26" ht="15.75" customHeight="1" x14ac:dyDescent="0.3">
      <c r="A930" s="2"/>
      <c r="B930" s="2"/>
      <c r="C930" s="2"/>
      <c r="D930" s="2"/>
      <c r="E930" s="2"/>
      <c r="F930" s="2"/>
      <c r="G930" s="2"/>
      <c r="H930" s="2"/>
      <c r="I930" s="2"/>
      <c r="K930" s="2"/>
      <c r="L930" s="2"/>
      <c r="M930" s="2"/>
      <c r="N930" s="2"/>
      <c r="O930" s="2"/>
      <c r="P930" s="2"/>
      <c r="Q930" s="2"/>
      <c r="R930" s="2"/>
      <c r="S930" s="2"/>
      <c r="T930" s="2"/>
      <c r="U930" s="2"/>
      <c r="V930" s="2"/>
      <c r="W930" s="2"/>
      <c r="X930" s="2"/>
      <c r="Y930" s="2"/>
      <c r="Z930" s="2"/>
    </row>
    <row r="931" spans="1:26" ht="15.75" customHeight="1" x14ac:dyDescent="0.3">
      <c r="A931" s="2"/>
      <c r="B931" s="2"/>
      <c r="C931" s="2"/>
      <c r="D931" s="2"/>
      <c r="E931" s="2"/>
      <c r="F931" s="2"/>
      <c r="G931" s="2"/>
      <c r="H931" s="2"/>
      <c r="I931" s="2"/>
      <c r="K931" s="2"/>
      <c r="L931" s="2"/>
      <c r="M931" s="2"/>
      <c r="N931" s="2"/>
      <c r="O931" s="2"/>
      <c r="P931" s="2"/>
      <c r="Q931" s="2"/>
      <c r="R931" s="2"/>
      <c r="S931" s="2"/>
      <c r="T931" s="2"/>
      <c r="U931" s="2"/>
      <c r="V931" s="2"/>
      <c r="W931" s="2"/>
      <c r="X931" s="2"/>
      <c r="Y931" s="2"/>
      <c r="Z931" s="2"/>
    </row>
    <row r="932" spans="1:26" ht="15.75" customHeight="1" x14ac:dyDescent="0.3">
      <c r="A932" s="2"/>
      <c r="B932" s="2"/>
      <c r="C932" s="2"/>
      <c r="D932" s="2"/>
      <c r="E932" s="2"/>
      <c r="F932" s="2"/>
      <c r="G932" s="2"/>
      <c r="H932" s="2"/>
      <c r="I932" s="2"/>
      <c r="K932" s="2"/>
      <c r="L932" s="2"/>
      <c r="M932" s="2"/>
      <c r="N932" s="2"/>
      <c r="O932" s="2"/>
      <c r="P932" s="2"/>
      <c r="Q932" s="2"/>
      <c r="R932" s="2"/>
      <c r="S932" s="2"/>
      <c r="T932" s="2"/>
      <c r="U932" s="2"/>
      <c r="V932" s="2"/>
      <c r="W932" s="2"/>
      <c r="X932" s="2"/>
      <c r="Y932" s="2"/>
      <c r="Z932" s="2"/>
    </row>
    <row r="933" spans="1:26" ht="15.75" customHeight="1" x14ac:dyDescent="0.3">
      <c r="A933" s="2"/>
      <c r="B933" s="2"/>
      <c r="C933" s="2"/>
      <c r="D933" s="2"/>
      <c r="E933" s="2"/>
      <c r="F933" s="2"/>
      <c r="G933" s="2"/>
      <c r="H933" s="2"/>
      <c r="I933" s="2"/>
      <c r="K933" s="2"/>
      <c r="L933" s="2"/>
      <c r="M933" s="2"/>
      <c r="N933" s="2"/>
      <c r="O933" s="2"/>
      <c r="P933" s="2"/>
      <c r="Q933" s="2"/>
      <c r="R933" s="2"/>
      <c r="S933" s="2"/>
      <c r="T933" s="2"/>
      <c r="U933" s="2"/>
      <c r="V933" s="2"/>
      <c r="W933" s="2"/>
      <c r="X933" s="2"/>
      <c r="Y933" s="2"/>
      <c r="Z933" s="2"/>
    </row>
    <row r="934" spans="1:26" ht="15.75" customHeight="1" x14ac:dyDescent="0.3">
      <c r="A934" s="2"/>
      <c r="B934" s="2"/>
      <c r="C934" s="2"/>
      <c r="D934" s="2"/>
      <c r="E934" s="2"/>
      <c r="F934" s="2"/>
      <c r="G934" s="2"/>
      <c r="H934" s="2"/>
      <c r="I934" s="2"/>
      <c r="K934" s="2"/>
      <c r="L934" s="2"/>
      <c r="M934" s="2"/>
      <c r="N934" s="2"/>
      <c r="O934" s="2"/>
      <c r="P934" s="2"/>
      <c r="Q934" s="2"/>
      <c r="R934" s="2"/>
      <c r="S934" s="2"/>
      <c r="T934" s="2"/>
      <c r="U934" s="2"/>
      <c r="V934" s="2"/>
      <c r="W934" s="2"/>
      <c r="X934" s="2"/>
      <c r="Y934" s="2"/>
      <c r="Z934" s="2"/>
    </row>
    <row r="935" spans="1:26" ht="15.75" customHeight="1" x14ac:dyDescent="0.3">
      <c r="A935" s="2"/>
      <c r="B935" s="2"/>
      <c r="C935" s="2"/>
      <c r="D935" s="2"/>
      <c r="E935" s="2"/>
      <c r="F935" s="2"/>
      <c r="G935" s="2"/>
      <c r="H935" s="2"/>
      <c r="I935" s="2"/>
      <c r="K935" s="2"/>
      <c r="L935" s="2"/>
      <c r="M935" s="2"/>
      <c r="N935" s="2"/>
      <c r="O935" s="2"/>
      <c r="P935" s="2"/>
      <c r="Q935" s="2"/>
      <c r="R935" s="2"/>
      <c r="S935" s="2"/>
      <c r="T935" s="2"/>
      <c r="U935" s="2"/>
      <c r="V935" s="2"/>
      <c r="W935" s="2"/>
      <c r="X935" s="2"/>
      <c r="Y935" s="2"/>
      <c r="Z935" s="2"/>
    </row>
    <row r="936" spans="1:26" ht="15.75" customHeight="1" x14ac:dyDescent="0.3">
      <c r="A936" s="2"/>
      <c r="B936" s="2"/>
      <c r="C936" s="2"/>
      <c r="D936" s="2"/>
      <c r="E936" s="2"/>
      <c r="F936" s="2"/>
      <c r="G936" s="2"/>
      <c r="H936" s="2"/>
      <c r="I936" s="2"/>
      <c r="K936" s="2"/>
      <c r="L936" s="2"/>
      <c r="M936" s="2"/>
      <c r="N936" s="2"/>
      <c r="O936" s="2"/>
      <c r="P936" s="2"/>
      <c r="Q936" s="2"/>
      <c r="R936" s="2"/>
      <c r="S936" s="2"/>
      <c r="T936" s="2"/>
      <c r="U936" s="2"/>
      <c r="V936" s="2"/>
      <c r="W936" s="2"/>
      <c r="X936" s="2"/>
      <c r="Y936" s="2"/>
      <c r="Z936" s="2"/>
    </row>
    <row r="937" spans="1:26" ht="15.75" customHeight="1" x14ac:dyDescent="0.3">
      <c r="A937" s="2"/>
      <c r="B937" s="2"/>
      <c r="C937" s="2"/>
      <c r="D937" s="2"/>
      <c r="E937" s="2"/>
      <c r="F937" s="2"/>
      <c r="G937" s="2"/>
      <c r="H937" s="2"/>
      <c r="I937" s="2"/>
      <c r="K937" s="2"/>
      <c r="L937" s="2"/>
      <c r="M937" s="2"/>
      <c r="N937" s="2"/>
      <c r="O937" s="2"/>
      <c r="P937" s="2"/>
      <c r="Q937" s="2"/>
      <c r="R937" s="2"/>
      <c r="S937" s="2"/>
      <c r="T937" s="2"/>
      <c r="U937" s="2"/>
      <c r="V937" s="2"/>
      <c r="W937" s="2"/>
      <c r="X937" s="2"/>
      <c r="Y937" s="2"/>
      <c r="Z937" s="2"/>
    </row>
    <row r="938" spans="1:26" ht="15.75" customHeight="1" x14ac:dyDescent="0.3">
      <c r="A938" s="2"/>
      <c r="B938" s="2"/>
      <c r="C938" s="2"/>
      <c r="D938" s="2"/>
      <c r="E938" s="2"/>
      <c r="F938" s="2"/>
      <c r="G938" s="2"/>
      <c r="H938" s="2"/>
      <c r="I938" s="2"/>
      <c r="K938" s="2"/>
      <c r="L938" s="2"/>
      <c r="M938" s="2"/>
      <c r="N938" s="2"/>
      <c r="O938" s="2"/>
      <c r="P938" s="2"/>
      <c r="Q938" s="2"/>
      <c r="R938" s="2"/>
      <c r="S938" s="2"/>
      <c r="T938" s="2"/>
      <c r="U938" s="2"/>
      <c r="V938" s="2"/>
      <c r="W938" s="2"/>
      <c r="X938" s="2"/>
      <c r="Y938" s="2"/>
      <c r="Z938" s="2"/>
    </row>
    <row r="939" spans="1:26" ht="15.75" customHeight="1" x14ac:dyDescent="0.3">
      <c r="A939" s="2"/>
      <c r="B939" s="2"/>
      <c r="C939" s="2"/>
      <c r="D939" s="2"/>
      <c r="E939" s="2"/>
      <c r="F939" s="2"/>
      <c r="G939" s="2"/>
      <c r="H939" s="2"/>
      <c r="I939" s="2"/>
      <c r="K939" s="2"/>
      <c r="L939" s="2"/>
      <c r="M939" s="2"/>
      <c r="N939" s="2"/>
      <c r="O939" s="2"/>
      <c r="P939" s="2"/>
      <c r="Q939" s="2"/>
      <c r="R939" s="2"/>
      <c r="S939" s="2"/>
      <c r="T939" s="2"/>
      <c r="U939" s="2"/>
      <c r="V939" s="2"/>
      <c r="W939" s="2"/>
      <c r="X939" s="2"/>
      <c r="Y939" s="2"/>
      <c r="Z939" s="2"/>
    </row>
    <row r="940" spans="1:26" ht="15.75" customHeight="1" x14ac:dyDescent="0.3">
      <c r="A940" s="2"/>
      <c r="B940" s="2"/>
      <c r="C940" s="2"/>
      <c r="D940" s="2"/>
      <c r="E940" s="2"/>
      <c r="F940" s="2"/>
      <c r="G940" s="2"/>
      <c r="H940" s="2"/>
      <c r="I940" s="2"/>
      <c r="K940" s="2"/>
      <c r="L940" s="2"/>
      <c r="M940" s="2"/>
      <c r="N940" s="2"/>
      <c r="O940" s="2"/>
      <c r="P940" s="2"/>
      <c r="Q940" s="2"/>
      <c r="R940" s="2"/>
      <c r="S940" s="2"/>
      <c r="T940" s="2"/>
      <c r="U940" s="2"/>
      <c r="V940" s="2"/>
      <c r="W940" s="2"/>
      <c r="X940" s="2"/>
      <c r="Y940" s="2"/>
      <c r="Z940" s="2"/>
    </row>
    <row r="941" spans="1:26" ht="15.75" customHeight="1" x14ac:dyDescent="0.3">
      <c r="A941" s="2"/>
      <c r="B941" s="2"/>
      <c r="C941" s="2"/>
      <c r="D941" s="2"/>
      <c r="E941" s="2"/>
      <c r="F941" s="2"/>
      <c r="G941" s="2"/>
      <c r="H941" s="2"/>
      <c r="I941" s="2"/>
      <c r="K941" s="2"/>
      <c r="L941" s="2"/>
      <c r="M941" s="2"/>
      <c r="N941" s="2"/>
      <c r="O941" s="2"/>
      <c r="P941" s="2"/>
      <c r="Q941" s="2"/>
      <c r="R941" s="2"/>
      <c r="S941" s="2"/>
      <c r="T941" s="2"/>
      <c r="U941" s="2"/>
      <c r="V941" s="2"/>
      <c r="W941" s="2"/>
      <c r="X941" s="2"/>
      <c r="Y941" s="2"/>
      <c r="Z941" s="2"/>
    </row>
    <row r="942" spans="1:26" ht="15.75" customHeight="1" x14ac:dyDescent="0.3">
      <c r="A942" s="2"/>
      <c r="B942" s="2"/>
      <c r="C942" s="2"/>
      <c r="D942" s="2"/>
      <c r="E942" s="2"/>
      <c r="F942" s="2"/>
      <c r="G942" s="2"/>
      <c r="H942" s="2"/>
      <c r="I942" s="2"/>
      <c r="K942" s="2"/>
      <c r="L942" s="2"/>
      <c r="M942" s="2"/>
      <c r="N942" s="2"/>
      <c r="O942" s="2"/>
      <c r="P942" s="2"/>
      <c r="Q942" s="2"/>
      <c r="R942" s="2"/>
      <c r="S942" s="2"/>
      <c r="T942" s="2"/>
      <c r="U942" s="2"/>
      <c r="V942" s="2"/>
      <c r="W942" s="2"/>
      <c r="X942" s="2"/>
      <c r="Y942" s="2"/>
      <c r="Z942" s="2"/>
    </row>
    <row r="943" spans="1:26" ht="15.75" customHeight="1" x14ac:dyDescent="0.3">
      <c r="A943" s="2"/>
      <c r="B943" s="2"/>
      <c r="C943" s="2"/>
      <c r="D943" s="2"/>
      <c r="E943" s="2"/>
      <c r="F943" s="2"/>
      <c r="G943" s="2"/>
      <c r="H943" s="2"/>
      <c r="I943" s="2"/>
      <c r="K943" s="2"/>
      <c r="L943" s="2"/>
      <c r="M943" s="2"/>
      <c r="N943" s="2"/>
      <c r="O943" s="2"/>
      <c r="P943" s="2"/>
      <c r="Q943" s="2"/>
      <c r="R943" s="2"/>
      <c r="S943" s="2"/>
      <c r="T943" s="2"/>
      <c r="U943" s="2"/>
      <c r="V943" s="2"/>
      <c r="W943" s="2"/>
      <c r="X943" s="2"/>
      <c r="Y943" s="2"/>
      <c r="Z943" s="2"/>
    </row>
    <row r="944" spans="1:26" ht="15.75" customHeight="1" x14ac:dyDescent="0.3">
      <c r="A944" s="2"/>
      <c r="B944" s="2"/>
      <c r="C944" s="2"/>
      <c r="D944" s="2"/>
      <c r="E944" s="2"/>
      <c r="F944" s="2"/>
      <c r="G944" s="2"/>
      <c r="H944" s="2"/>
      <c r="I944" s="2"/>
      <c r="K944" s="2"/>
      <c r="L944" s="2"/>
      <c r="M944" s="2"/>
      <c r="N944" s="2"/>
      <c r="O944" s="2"/>
      <c r="P944" s="2"/>
      <c r="Q944" s="2"/>
      <c r="R944" s="2"/>
      <c r="S944" s="2"/>
      <c r="T944" s="2"/>
      <c r="U944" s="2"/>
      <c r="V944" s="2"/>
      <c r="W944" s="2"/>
      <c r="X944" s="2"/>
      <c r="Y944" s="2"/>
      <c r="Z944" s="2"/>
    </row>
    <row r="945" spans="1:26" ht="15.75" customHeight="1" x14ac:dyDescent="0.3">
      <c r="A945" s="2"/>
      <c r="B945" s="2"/>
      <c r="C945" s="2"/>
      <c r="D945" s="2"/>
      <c r="E945" s="2"/>
      <c r="F945" s="2"/>
      <c r="G945" s="2"/>
      <c r="H945" s="2"/>
      <c r="I945" s="2"/>
      <c r="K945" s="2"/>
      <c r="L945" s="2"/>
      <c r="M945" s="2"/>
      <c r="N945" s="2"/>
      <c r="O945" s="2"/>
      <c r="P945" s="2"/>
      <c r="Q945" s="2"/>
      <c r="R945" s="2"/>
      <c r="S945" s="2"/>
      <c r="T945" s="2"/>
      <c r="U945" s="2"/>
      <c r="V945" s="2"/>
      <c r="W945" s="2"/>
      <c r="X945" s="2"/>
      <c r="Y945" s="2"/>
      <c r="Z945" s="2"/>
    </row>
    <row r="946" spans="1:26" ht="15.75" customHeight="1" x14ac:dyDescent="0.3">
      <c r="A946" s="2"/>
      <c r="B946" s="2"/>
      <c r="C946" s="2"/>
      <c r="D946" s="2"/>
      <c r="E946" s="2"/>
      <c r="F946" s="2"/>
      <c r="G946" s="2"/>
      <c r="H946" s="2"/>
      <c r="I946" s="2"/>
      <c r="K946" s="2"/>
      <c r="L946" s="2"/>
      <c r="M946" s="2"/>
      <c r="N946" s="2"/>
      <c r="O946" s="2"/>
      <c r="P946" s="2"/>
      <c r="Q946" s="2"/>
      <c r="R946" s="2"/>
      <c r="S946" s="2"/>
      <c r="T946" s="2"/>
      <c r="U946" s="2"/>
      <c r="V946" s="2"/>
      <c r="W946" s="2"/>
      <c r="X946" s="2"/>
      <c r="Y946" s="2"/>
      <c r="Z946" s="2"/>
    </row>
    <row r="947" spans="1:26" ht="15.75" customHeight="1" x14ac:dyDescent="0.3">
      <c r="A947" s="2"/>
      <c r="B947" s="2"/>
      <c r="C947" s="2"/>
      <c r="D947" s="2"/>
      <c r="E947" s="2"/>
      <c r="F947" s="2"/>
      <c r="G947" s="2"/>
      <c r="H947" s="2"/>
      <c r="I947" s="2"/>
      <c r="K947" s="2"/>
      <c r="L947" s="2"/>
      <c r="M947" s="2"/>
      <c r="N947" s="2"/>
      <c r="O947" s="2"/>
      <c r="P947" s="2"/>
      <c r="Q947" s="2"/>
      <c r="R947" s="2"/>
      <c r="S947" s="2"/>
      <c r="T947" s="2"/>
      <c r="U947" s="2"/>
      <c r="V947" s="2"/>
      <c r="W947" s="2"/>
      <c r="X947" s="2"/>
      <c r="Y947" s="2"/>
      <c r="Z947" s="2"/>
    </row>
    <row r="948" spans="1:26" ht="15.75" customHeight="1" x14ac:dyDescent="0.3">
      <c r="A948" s="2"/>
      <c r="B948" s="2"/>
      <c r="C948" s="2"/>
      <c r="D948" s="2"/>
      <c r="E948" s="2"/>
      <c r="F948" s="2"/>
      <c r="G948" s="2"/>
      <c r="H948" s="2"/>
      <c r="I948" s="2"/>
      <c r="K948" s="2"/>
      <c r="L948" s="2"/>
      <c r="M948" s="2"/>
      <c r="N948" s="2"/>
      <c r="O948" s="2"/>
      <c r="P948" s="2"/>
      <c r="Q948" s="2"/>
      <c r="R948" s="2"/>
      <c r="S948" s="2"/>
      <c r="T948" s="2"/>
      <c r="U948" s="2"/>
      <c r="V948" s="2"/>
      <c r="W948" s="2"/>
      <c r="X948" s="2"/>
      <c r="Y948" s="2"/>
      <c r="Z948" s="2"/>
    </row>
    <row r="949" spans="1:26" ht="15.75" customHeight="1" x14ac:dyDescent="0.3">
      <c r="A949" s="2"/>
      <c r="B949" s="2"/>
      <c r="C949" s="2"/>
      <c r="D949" s="2"/>
      <c r="E949" s="2"/>
      <c r="F949" s="2"/>
      <c r="G949" s="2"/>
      <c r="H949" s="2"/>
      <c r="I949" s="2"/>
      <c r="K949" s="2"/>
      <c r="L949" s="2"/>
      <c r="M949" s="2"/>
      <c r="N949" s="2"/>
      <c r="O949" s="2"/>
      <c r="P949" s="2"/>
      <c r="Q949" s="2"/>
      <c r="R949" s="2"/>
      <c r="S949" s="2"/>
      <c r="T949" s="2"/>
      <c r="U949" s="2"/>
      <c r="V949" s="2"/>
      <c r="W949" s="2"/>
      <c r="X949" s="2"/>
      <c r="Y949" s="2"/>
      <c r="Z949" s="2"/>
    </row>
    <row r="950" spans="1:26" ht="15.75" customHeight="1" x14ac:dyDescent="0.3">
      <c r="A950" s="2"/>
      <c r="B950" s="2"/>
      <c r="C950" s="2"/>
      <c r="D950" s="2"/>
      <c r="E950" s="2"/>
      <c r="F950" s="2"/>
      <c r="G950" s="2"/>
      <c r="H950" s="2"/>
      <c r="I950" s="2"/>
      <c r="K950" s="2"/>
      <c r="L950" s="2"/>
      <c r="M950" s="2"/>
      <c r="N950" s="2"/>
      <c r="O950" s="2"/>
      <c r="P950" s="2"/>
      <c r="Q950" s="2"/>
      <c r="R950" s="2"/>
      <c r="S950" s="2"/>
      <c r="T950" s="2"/>
      <c r="U950" s="2"/>
      <c r="V950" s="2"/>
      <c r="W950" s="2"/>
      <c r="X950" s="2"/>
      <c r="Y950" s="2"/>
      <c r="Z950" s="2"/>
    </row>
    <row r="951" spans="1:26" ht="15.75" customHeight="1" x14ac:dyDescent="0.3">
      <c r="A951" s="2"/>
      <c r="B951" s="2"/>
      <c r="C951" s="2"/>
      <c r="D951" s="2"/>
      <c r="E951" s="2"/>
      <c r="F951" s="2"/>
      <c r="G951" s="2"/>
      <c r="H951" s="2"/>
      <c r="I951" s="2"/>
      <c r="K951" s="2"/>
      <c r="L951" s="2"/>
      <c r="M951" s="2"/>
      <c r="N951" s="2"/>
      <c r="O951" s="2"/>
      <c r="P951" s="2"/>
      <c r="Q951" s="2"/>
      <c r="R951" s="2"/>
      <c r="S951" s="2"/>
      <c r="T951" s="2"/>
      <c r="U951" s="2"/>
      <c r="V951" s="2"/>
      <c r="W951" s="2"/>
      <c r="X951" s="2"/>
      <c r="Y951" s="2"/>
      <c r="Z951" s="2"/>
    </row>
    <row r="952" spans="1:26" ht="15.75" customHeight="1" x14ac:dyDescent="0.3">
      <c r="A952" s="2"/>
      <c r="B952" s="2"/>
      <c r="C952" s="2"/>
      <c r="D952" s="2"/>
      <c r="E952" s="2"/>
      <c r="F952" s="2"/>
      <c r="G952" s="2"/>
      <c r="H952" s="2"/>
      <c r="I952" s="2"/>
      <c r="K952" s="2"/>
      <c r="L952" s="2"/>
      <c r="M952" s="2"/>
      <c r="N952" s="2"/>
      <c r="O952" s="2"/>
      <c r="P952" s="2"/>
      <c r="Q952" s="2"/>
      <c r="R952" s="2"/>
      <c r="S952" s="2"/>
      <c r="T952" s="2"/>
      <c r="U952" s="2"/>
      <c r="V952" s="2"/>
      <c r="W952" s="2"/>
      <c r="X952" s="2"/>
      <c r="Y952" s="2"/>
      <c r="Z952" s="2"/>
    </row>
    <row r="953" spans="1:26" ht="15.75" customHeight="1" x14ac:dyDescent="0.3">
      <c r="A953" s="2"/>
      <c r="B953" s="2"/>
      <c r="C953" s="2"/>
      <c r="D953" s="2"/>
      <c r="E953" s="2"/>
      <c r="F953" s="2"/>
      <c r="G953" s="2"/>
      <c r="H953" s="2"/>
      <c r="I953" s="2"/>
      <c r="K953" s="2"/>
      <c r="L953" s="2"/>
      <c r="M953" s="2"/>
      <c r="N953" s="2"/>
      <c r="O953" s="2"/>
      <c r="P953" s="2"/>
      <c r="Q953" s="2"/>
      <c r="R953" s="2"/>
      <c r="S953" s="2"/>
      <c r="T953" s="2"/>
      <c r="U953" s="2"/>
      <c r="V953" s="2"/>
      <c r="W953" s="2"/>
      <c r="X953" s="2"/>
      <c r="Y953" s="2"/>
      <c r="Z953" s="2"/>
    </row>
    <row r="954" spans="1:26" ht="15.75" customHeight="1" x14ac:dyDescent="0.3">
      <c r="A954" s="2"/>
      <c r="B954" s="2"/>
      <c r="C954" s="2"/>
      <c r="D954" s="2"/>
      <c r="E954" s="2"/>
      <c r="F954" s="2"/>
      <c r="G954" s="2"/>
      <c r="H954" s="2"/>
      <c r="I954" s="2"/>
      <c r="K954" s="2"/>
      <c r="L954" s="2"/>
      <c r="M954" s="2"/>
      <c r="N954" s="2"/>
      <c r="O954" s="2"/>
      <c r="P954" s="2"/>
      <c r="Q954" s="2"/>
      <c r="R954" s="2"/>
      <c r="S954" s="2"/>
      <c r="T954" s="2"/>
      <c r="U954" s="2"/>
      <c r="V954" s="2"/>
      <c r="W954" s="2"/>
      <c r="X954" s="2"/>
      <c r="Y954" s="2"/>
      <c r="Z954" s="2"/>
    </row>
    <row r="955" spans="1:26" ht="15.75" customHeight="1" x14ac:dyDescent="0.3">
      <c r="A955" s="2"/>
      <c r="B955" s="2"/>
      <c r="C955" s="2"/>
      <c r="D955" s="2"/>
      <c r="E955" s="2"/>
      <c r="F955" s="2"/>
      <c r="G955" s="2"/>
      <c r="H955" s="2"/>
      <c r="I955" s="2"/>
      <c r="K955" s="2"/>
      <c r="L955" s="2"/>
      <c r="M955" s="2"/>
      <c r="N955" s="2"/>
      <c r="O955" s="2"/>
      <c r="P955" s="2"/>
      <c r="Q955" s="2"/>
      <c r="R955" s="2"/>
      <c r="S955" s="2"/>
      <c r="T955" s="2"/>
      <c r="U955" s="2"/>
      <c r="V955" s="2"/>
      <c r="W955" s="2"/>
      <c r="X955" s="2"/>
      <c r="Y955" s="2"/>
      <c r="Z955" s="2"/>
    </row>
    <row r="956" spans="1:26" ht="15.75" customHeight="1" x14ac:dyDescent="0.3">
      <c r="A956" s="2"/>
      <c r="B956" s="2"/>
      <c r="C956" s="2"/>
      <c r="D956" s="2"/>
      <c r="E956" s="2"/>
      <c r="F956" s="2"/>
      <c r="G956" s="2"/>
      <c r="H956" s="2"/>
      <c r="I956" s="2"/>
      <c r="K956" s="2"/>
      <c r="L956" s="2"/>
      <c r="M956" s="2"/>
      <c r="N956" s="2"/>
      <c r="O956" s="2"/>
      <c r="P956" s="2"/>
      <c r="Q956" s="2"/>
      <c r="R956" s="2"/>
      <c r="S956" s="2"/>
      <c r="T956" s="2"/>
      <c r="U956" s="2"/>
      <c r="V956" s="2"/>
      <c r="W956" s="2"/>
      <c r="X956" s="2"/>
      <c r="Y956" s="2"/>
      <c r="Z956" s="2"/>
    </row>
    <row r="957" spans="1:26" ht="15.75" customHeight="1" x14ac:dyDescent="0.3">
      <c r="A957" s="2"/>
      <c r="B957" s="2"/>
      <c r="C957" s="2"/>
      <c r="D957" s="2"/>
      <c r="E957" s="2"/>
      <c r="F957" s="2"/>
      <c r="G957" s="2"/>
      <c r="H957" s="2"/>
      <c r="I957" s="2"/>
      <c r="K957" s="2"/>
      <c r="L957" s="2"/>
      <c r="M957" s="2"/>
      <c r="N957" s="2"/>
      <c r="O957" s="2"/>
      <c r="P957" s="2"/>
      <c r="Q957" s="2"/>
      <c r="R957" s="2"/>
      <c r="S957" s="2"/>
      <c r="T957" s="2"/>
      <c r="U957" s="2"/>
      <c r="V957" s="2"/>
      <c r="W957" s="2"/>
      <c r="X957" s="2"/>
      <c r="Y957" s="2"/>
      <c r="Z957" s="2"/>
    </row>
    <row r="958" spans="1:26" ht="15.75" customHeight="1" x14ac:dyDescent="0.3">
      <c r="A958" s="2"/>
      <c r="B958" s="2"/>
      <c r="C958" s="2"/>
      <c r="D958" s="2"/>
      <c r="E958" s="2"/>
      <c r="F958" s="2"/>
      <c r="G958" s="2"/>
      <c r="H958" s="2"/>
      <c r="I958" s="2"/>
      <c r="K958" s="2"/>
      <c r="L958" s="2"/>
      <c r="M958" s="2"/>
      <c r="N958" s="2"/>
      <c r="O958" s="2"/>
      <c r="P958" s="2"/>
      <c r="Q958" s="2"/>
      <c r="R958" s="2"/>
      <c r="S958" s="2"/>
      <c r="T958" s="2"/>
      <c r="U958" s="2"/>
      <c r="V958" s="2"/>
      <c r="W958" s="2"/>
      <c r="X958" s="2"/>
      <c r="Y958" s="2"/>
      <c r="Z958" s="2"/>
    </row>
    <row r="959" spans="1:26" ht="15.75" customHeight="1" x14ac:dyDescent="0.3">
      <c r="A959" s="2"/>
      <c r="B959" s="2"/>
      <c r="C959" s="2"/>
      <c r="D959" s="2"/>
      <c r="E959" s="2"/>
      <c r="F959" s="2"/>
      <c r="G959" s="2"/>
      <c r="H959" s="2"/>
      <c r="I959" s="2"/>
      <c r="K959" s="2"/>
      <c r="L959" s="2"/>
      <c r="M959" s="2"/>
      <c r="N959" s="2"/>
      <c r="O959" s="2"/>
      <c r="P959" s="2"/>
      <c r="Q959" s="2"/>
      <c r="R959" s="2"/>
      <c r="S959" s="2"/>
      <c r="T959" s="2"/>
      <c r="U959" s="2"/>
      <c r="V959" s="2"/>
      <c r="W959" s="2"/>
      <c r="X959" s="2"/>
      <c r="Y959" s="2"/>
      <c r="Z959" s="2"/>
    </row>
    <row r="960" spans="1:26" ht="15.75" customHeight="1" x14ac:dyDescent="0.3">
      <c r="A960" s="2"/>
      <c r="B960" s="2"/>
      <c r="C960" s="2"/>
      <c r="D960" s="2"/>
      <c r="E960" s="2"/>
      <c r="F960" s="2"/>
      <c r="G960" s="2"/>
      <c r="H960" s="2"/>
      <c r="I960" s="2"/>
      <c r="K960" s="2"/>
      <c r="L960" s="2"/>
      <c r="M960" s="2"/>
      <c r="N960" s="2"/>
      <c r="O960" s="2"/>
      <c r="P960" s="2"/>
      <c r="Q960" s="2"/>
      <c r="R960" s="2"/>
      <c r="S960" s="2"/>
      <c r="T960" s="2"/>
      <c r="U960" s="2"/>
      <c r="V960" s="2"/>
      <c r="W960" s="2"/>
      <c r="X960" s="2"/>
      <c r="Y960" s="2"/>
      <c r="Z960" s="2"/>
    </row>
    <row r="961" spans="1:26" ht="15.75" customHeight="1" x14ac:dyDescent="0.3">
      <c r="A961" s="2"/>
      <c r="B961" s="2"/>
      <c r="C961" s="2"/>
      <c r="D961" s="2"/>
      <c r="E961" s="2"/>
      <c r="F961" s="2"/>
      <c r="G961" s="2"/>
      <c r="H961" s="2"/>
      <c r="I961" s="2"/>
      <c r="K961" s="2"/>
      <c r="L961" s="2"/>
      <c r="M961" s="2"/>
      <c r="N961" s="2"/>
      <c r="O961" s="2"/>
      <c r="P961" s="2"/>
      <c r="Q961" s="2"/>
      <c r="R961" s="2"/>
      <c r="S961" s="2"/>
      <c r="T961" s="2"/>
      <c r="U961" s="2"/>
      <c r="V961" s="2"/>
      <c r="W961" s="2"/>
      <c r="X961" s="2"/>
      <c r="Y961" s="2"/>
      <c r="Z961" s="2"/>
    </row>
    <row r="962" spans="1:26" ht="15.75" customHeight="1" x14ac:dyDescent="0.3">
      <c r="A962" s="2"/>
      <c r="B962" s="2"/>
      <c r="C962" s="2"/>
      <c r="D962" s="2"/>
      <c r="E962" s="2"/>
      <c r="F962" s="2"/>
      <c r="G962" s="2"/>
      <c r="H962" s="2"/>
      <c r="I962" s="2"/>
      <c r="K962" s="2"/>
      <c r="L962" s="2"/>
      <c r="M962" s="2"/>
      <c r="N962" s="2"/>
      <c r="O962" s="2"/>
      <c r="P962" s="2"/>
      <c r="Q962" s="2"/>
      <c r="R962" s="2"/>
      <c r="S962" s="2"/>
      <c r="T962" s="2"/>
      <c r="U962" s="2"/>
      <c r="V962" s="2"/>
      <c r="W962" s="2"/>
      <c r="X962" s="2"/>
      <c r="Y962" s="2"/>
      <c r="Z962" s="2"/>
    </row>
    <row r="963" spans="1:26" ht="15.75" customHeight="1" x14ac:dyDescent="0.3">
      <c r="A963" s="2"/>
      <c r="B963" s="2"/>
      <c r="C963" s="2"/>
      <c r="D963" s="2"/>
      <c r="E963" s="2"/>
      <c r="F963" s="2"/>
      <c r="G963" s="2"/>
      <c r="H963" s="2"/>
      <c r="I963" s="2"/>
      <c r="K963" s="2"/>
      <c r="L963" s="2"/>
      <c r="M963" s="2"/>
      <c r="N963" s="2"/>
      <c r="O963" s="2"/>
      <c r="P963" s="2"/>
      <c r="Q963" s="2"/>
      <c r="R963" s="2"/>
      <c r="S963" s="2"/>
      <c r="T963" s="2"/>
      <c r="U963" s="2"/>
      <c r="V963" s="2"/>
      <c r="W963" s="2"/>
      <c r="X963" s="2"/>
      <c r="Y963" s="2"/>
      <c r="Z963" s="2"/>
    </row>
    <row r="964" spans="1:26" ht="15.75" customHeight="1" x14ac:dyDescent="0.3">
      <c r="A964" s="2"/>
      <c r="B964" s="2"/>
      <c r="C964" s="2"/>
      <c r="D964" s="2"/>
      <c r="E964" s="2"/>
      <c r="F964" s="2"/>
      <c r="G964" s="2"/>
      <c r="H964" s="2"/>
      <c r="I964" s="2"/>
      <c r="K964" s="2"/>
      <c r="L964" s="2"/>
      <c r="M964" s="2"/>
      <c r="N964" s="2"/>
      <c r="O964" s="2"/>
      <c r="P964" s="2"/>
      <c r="Q964" s="2"/>
      <c r="R964" s="2"/>
      <c r="S964" s="2"/>
      <c r="T964" s="2"/>
      <c r="U964" s="2"/>
      <c r="V964" s="2"/>
      <c r="W964" s="2"/>
      <c r="X964" s="2"/>
      <c r="Y964" s="2"/>
      <c r="Z964" s="2"/>
    </row>
    <row r="965" spans="1:26" ht="15.75" customHeight="1" x14ac:dyDescent="0.3">
      <c r="A965" s="2"/>
      <c r="B965" s="2"/>
      <c r="C965" s="2"/>
      <c r="D965" s="2"/>
      <c r="E965" s="2"/>
      <c r="F965" s="2"/>
      <c r="G965" s="2"/>
      <c r="H965" s="2"/>
      <c r="I965" s="2"/>
      <c r="K965" s="2"/>
      <c r="L965" s="2"/>
      <c r="M965" s="2"/>
      <c r="N965" s="2"/>
      <c r="O965" s="2"/>
      <c r="P965" s="2"/>
      <c r="Q965" s="2"/>
      <c r="R965" s="2"/>
      <c r="S965" s="2"/>
      <c r="T965" s="2"/>
      <c r="U965" s="2"/>
      <c r="V965" s="2"/>
      <c r="W965" s="2"/>
      <c r="X965" s="2"/>
      <c r="Y965" s="2"/>
      <c r="Z965" s="2"/>
    </row>
    <row r="966" spans="1:26" ht="15.75" customHeight="1" x14ac:dyDescent="0.3">
      <c r="A966" s="2"/>
      <c r="B966" s="2"/>
      <c r="C966" s="2"/>
      <c r="D966" s="2"/>
      <c r="E966" s="2"/>
      <c r="F966" s="2"/>
      <c r="G966" s="2"/>
      <c r="H966" s="2"/>
      <c r="I966" s="2"/>
      <c r="K966" s="2"/>
      <c r="L966" s="2"/>
      <c r="M966" s="2"/>
      <c r="N966" s="2"/>
      <c r="O966" s="2"/>
      <c r="P966" s="2"/>
      <c r="Q966" s="2"/>
      <c r="R966" s="2"/>
      <c r="S966" s="2"/>
      <c r="T966" s="2"/>
      <c r="U966" s="2"/>
      <c r="V966" s="2"/>
      <c r="W966" s="2"/>
      <c r="X966" s="2"/>
      <c r="Y966" s="2"/>
      <c r="Z966" s="2"/>
    </row>
    <row r="967" spans="1:26" ht="15.75" customHeight="1" x14ac:dyDescent="0.3">
      <c r="A967" s="2"/>
      <c r="B967" s="2"/>
      <c r="C967" s="2"/>
      <c r="D967" s="2"/>
      <c r="E967" s="2"/>
      <c r="F967" s="2"/>
      <c r="G967" s="2"/>
      <c r="H967" s="2"/>
      <c r="I967" s="2"/>
      <c r="K967" s="2"/>
      <c r="L967" s="2"/>
      <c r="M967" s="2"/>
      <c r="N967" s="2"/>
      <c r="O967" s="2"/>
      <c r="P967" s="2"/>
      <c r="Q967" s="2"/>
      <c r="R967" s="2"/>
      <c r="S967" s="2"/>
      <c r="T967" s="2"/>
      <c r="U967" s="2"/>
      <c r="V967" s="2"/>
      <c r="W967" s="2"/>
      <c r="X967" s="2"/>
      <c r="Y967" s="2"/>
      <c r="Z967" s="2"/>
    </row>
    <row r="968" spans="1:26" ht="15.75" customHeight="1" x14ac:dyDescent="0.3">
      <c r="A968" s="2"/>
      <c r="B968" s="2"/>
      <c r="C968" s="2"/>
      <c r="D968" s="2"/>
      <c r="E968" s="2"/>
      <c r="F968" s="2"/>
      <c r="G968" s="2"/>
      <c r="H968" s="2"/>
      <c r="I968" s="2"/>
      <c r="K968" s="2"/>
      <c r="L968" s="2"/>
      <c r="M968" s="2"/>
      <c r="N968" s="2"/>
      <c r="O968" s="2"/>
      <c r="P968" s="2"/>
      <c r="Q968" s="2"/>
      <c r="R968" s="2"/>
      <c r="S968" s="2"/>
      <c r="T968" s="2"/>
      <c r="U968" s="2"/>
      <c r="V968" s="2"/>
      <c r="W968" s="2"/>
      <c r="X968" s="2"/>
      <c r="Y968" s="2"/>
      <c r="Z968" s="2"/>
    </row>
    <row r="969" spans="1:26" ht="15.75" customHeight="1" x14ac:dyDescent="0.3">
      <c r="A969" s="2"/>
      <c r="B969" s="2"/>
      <c r="C969" s="2"/>
      <c r="D969" s="2"/>
      <c r="E969" s="2"/>
      <c r="F969" s="2"/>
      <c r="G969" s="2"/>
      <c r="H969" s="2"/>
      <c r="I969" s="2"/>
      <c r="K969" s="2"/>
      <c r="L969" s="2"/>
      <c r="M969" s="2"/>
      <c r="N969" s="2"/>
      <c r="O969" s="2"/>
      <c r="P969" s="2"/>
      <c r="Q969" s="2"/>
      <c r="R969" s="2"/>
      <c r="S969" s="2"/>
      <c r="T969" s="2"/>
      <c r="U969" s="2"/>
      <c r="V969" s="2"/>
      <c r="W969" s="2"/>
      <c r="X969" s="2"/>
      <c r="Y969" s="2"/>
      <c r="Z969" s="2"/>
    </row>
    <row r="970" spans="1:26" ht="15.75" customHeight="1" x14ac:dyDescent="0.3">
      <c r="A970" s="2"/>
      <c r="B970" s="2"/>
      <c r="C970" s="2"/>
      <c r="D970" s="2"/>
      <c r="E970" s="2"/>
      <c r="F970" s="2"/>
      <c r="G970" s="2"/>
      <c r="H970" s="2"/>
      <c r="I970" s="2"/>
      <c r="K970" s="2"/>
      <c r="L970" s="2"/>
      <c r="M970" s="2"/>
      <c r="N970" s="2"/>
      <c r="O970" s="2"/>
      <c r="P970" s="2"/>
      <c r="Q970" s="2"/>
      <c r="R970" s="2"/>
      <c r="S970" s="2"/>
      <c r="T970" s="2"/>
      <c r="U970" s="2"/>
      <c r="V970" s="2"/>
      <c r="W970" s="2"/>
      <c r="X970" s="2"/>
      <c r="Y970" s="2"/>
      <c r="Z970" s="2"/>
    </row>
    <row r="971" spans="1:26" ht="15.75" customHeight="1" x14ac:dyDescent="0.3">
      <c r="A971" s="2"/>
      <c r="B971" s="2"/>
      <c r="C971" s="2"/>
      <c r="D971" s="2"/>
      <c r="E971" s="2"/>
      <c r="F971" s="2"/>
      <c r="G971" s="2"/>
      <c r="H971" s="2"/>
      <c r="I971" s="2"/>
      <c r="K971" s="2"/>
      <c r="L971" s="2"/>
      <c r="M971" s="2"/>
      <c r="N971" s="2"/>
      <c r="O971" s="2"/>
      <c r="P971" s="2"/>
      <c r="Q971" s="2"/>
      <c r="R971" s="2"/>
      <c r="S971" s="2"/>
      <c r="T971" s="2"/>
      <c r="U971" s="2"/>
      <c r="V971" s="2"/>
      <c r="W971" s="2"/>
      <c r="X971" s="2"/>
      <c r="Y971" s="2"/>
      <c r="Z971" s="2"/>
    </row>
    <row r="972" spans="1:26" ht="15.75" customHeight="1" x14ac:dyDescent="0.3">
      <c r="A972" s="2"/>
      <c r="B972" s="2"/>
      <c r="C972" s="2"/>
      <c r="D972" s="2"/>
      <c r="E972" s="2"/>
      <c r="F972" s="2"/>
      <c r="G972" s="2"/>
      <c r="H972" s="2"/>
      <c r="I972" s="2"/>
      <c r="K972" s="2"/>
      <c r="L972" s="2"/>
      <c r="M972" s="2"/>
      <c r="N972" s="2"/>
      <c r="O972" s="2"/>
      <c r="P972" s="2"/>
      <c r="Q972" s="2"/>
      <c r="R972" s="2"/>
      <c r="S972" s="2"/>
      <c r="T972" s="2"/>
      <c r="U972" s="2"/>
      <c r="V972" s="2"/>
      <c r="W972" s="2"/>
      <c r="X972" s="2"/>
      <c r="Y972" s="2"/>
      <c r="Z972" s="2"/>
    </row>
    <row r="973" spans="1:26" ht="15.75" customHeight="1" x14ac:dyDescent="0.3">
      <c r="A973" s="2"/>
      <c r="B973" s="2"/>
      <c r="C973" s="2"/>
      <c r="D973" s="2"/>
      <c r="E973" s="2"/>
      <c r="F973" s="2"/>
      <c r="G973" s="2"/>
      <c r="H973" s="2"/>
      <c r="I973" s="2"/>
      <c r="K973" s="2"/>
      <c r="L973" s="2"/>
      <c r="M973" s="2"/>
      <c r="N973" s="2"/>
      <c r="O973" s="2"/>
      <c r="P973" s="2"/>
      <c r="Q973" s="2"/>
      <c r="R973" s="2"/>
      <c r="S973" s="2"/>
      <c r="T973" s="2"/>
      <c r="U973" s="2"/>
      <c r="V973" s="2"/>
      <c r="W973" s="2"/>
      <c r="X973" s="2"/>
      <c r="Y973" s="2"/>
      <c r="Z973" s="2"/>
    </row>
    <row r="974" spans="1:26" ht="15.75" customHeight="1" x14ac:dyDescent="0.3">
      <c r="A974" s="2"/>
      <c r="B974" s="2"/>
      <c r="C974" s="2"/>
      <c r="D974" s="2"/>
      <c r="E974" s="2"/>
      <c r="F974" s="2"/>
      <c r="G974" s="2"/>
      <c r="H974" s="2"/>
      <c r="I974" s="2"/>
      <c r="K974" s="2"/>
      <c r="L974" s="2"/>
      <c r="M974" s="2"/>
      <c r="N974" s="2"/>
      <c r="O974" s="2"/>
      <c r="P974" s="2"/>
      <c r="Q974" s="2"/>
      <c r="R974" s="2"/>
      <c r="S974" s="2"/>
      <c r="T974" s="2"/>
      <c r="U974" s="2"/>
      <c r="V974" s="2"/>
      <c r="W974" s="2"/>
      <c r="X974" s="2"/>
      <c r="Y974" s="2"/>
      <c r="Z974" s="2"/>
    </row>
    <row r="975" spans="1:26" ht="15.75" customHeight="1" x14ac:dyDescent="0.3">
      <c r="A975" s="2"/>
      <c r="B975" s="2"/>
      <c r="C975" s="2"/>
      <c r="D975" s="2"/>
      <c r="E975" s="2"/>
      <c r="F975" s="2"/>
      <c r="G975" s="2"/>
      <c r="H975" s="2"/>
      <c r="I975" s="2"/>
      <c r="K975" s="2"/>
      <c r="L975" s="2"/>
      <c r="M975" s="2"/>
      <c r="N975" s="2"/>
      <c r="O975" s="2"/>
      <c r="P975" s="2"/>
      <c r="Q975" s="2"/>
      <c r="R975" s="2"/>
      <c r="S975" s="2"/>
      <c r="T975" s="2"/>
      <c r="U975" s="2"/>
      <c r="V975" s="2"/>
      <c r="W975" s="2"/>
      <c r="X975" s="2"/>
      <c r="Y975" s="2"/>
      <c r="Z975" s="2"/>
    </row>
    <row r="976" spans="1:26" ht="15.75" customHeight="1" x14ac:dyDescent="0.3">
      <c r="A976" s="2"/>
      <c r="B976" s="2"/>
      <c r="C976" s="2"/>
      <c r="D976" s="2"/>
      <c r="E976" s="2"/>
      <c r="F976" s="2"/>
      <c r="G976" s="2"/>
      <c r="H976" s="2"/>
      <c r="I976" s="2"/>
      <c r="K976" s="2"/>
      <c r="L976" s="2"/>
      <c r="M976" s="2"/>
      <c r="N976" s="2"/>
      <c r="O976" s="2"/>
      <c r="P976" s="2"/>
      <c r="Q976" s="2"/>
      <c r="R976" s="2"/>
      <c r="S976" s="2"/>
      <c r="T976" s="2"/>
      <c r="U976" s="2"/>
      <c r="V976" s="2"/>
      <c r="W976" s="2"/>
      <c r="X976" s="2"/>
      <c r="Y976" s="2"/>
      <c r="Z976" s="2"/>
    </row>
    <row r="977" spans="1:26" ht="15.75" customHeight="1" x14ac:dyDescent="0.3">
      <c r="A977" s="2"/>
      <c r="B977" s="2"/>
      <c r="C977" s="2"/>
      <c r="D977" s="2"/>
      <c r="E977" s="2"/>
      <c r="F977" s="2"/>
      <c r="G977" s="2"/>
      <c r="H977" s="2"/>
      <c r="I977" s="2"/>
      <c r="K977" s="2"/>
      <c r="L977" s="2"/>
      <c r="M977" s="2"/>
      <c r="N977" s="2"/>
      <c r="O977" s="2"/>
      <c r="P977" s="2"/>
      <c r="Q977" s="2"/>
      <c r="R977" s="2"/>
      <c r="S977" s="2"/>
      <c r="T977" s="2"/>
      <c r="U977" s="2"/>
      <c r="V977" s="2"/>
      <c r="W977" s="2"/>
      <c r="X977" s="2"/>
      <c r="Y977" s="2"/>
      <c r="Z977" s="2"/>
    </row>
    <row r="978" spans="1:26" ht="15.75" customHeight="1" x14ac:dyDescent="0.3">
      <c r="A978" s="2"/>
      <c r="B978" s="2"/>
      <c r="C978" s="2"/>
      <c r="D978" s="2"/>
      <c r="E978" s="2"/>
      <c r="F978" s="2"/>
      <c r="G978" s="2"/>
      <c r="H978" s="2"/>
      <c r="I978" s="2"/>
      <c r="K978" s="2"/>
      <c r="L978" s="2"/>
      <c r="M978" s="2"/>
      <c r="N978" s="2"/>
      <c r="O978" s="2"/>
      <c r="P978" s="2"/>
      <c r="Q978" s="2"/>
      <c r="R978" s="2"/>
      <c r="S978" s="2"/>
      <c r="T978" s="2"/>
      <c r="U978" s="2"/>
      <c r="V978" s="2"/>
      <c r="W978" s="2"/>
      <c r="X978" s="2"/>
      <c r="Y978" s="2"/>
      <c r="Z978" s="2"/>
    </row>
    <row r="979" spans="1:26" ht="15.75" customHeight="1" x14ac:dyDescent="0.3">
      <c r="A979" s="2"/>
      <c r="B979" s="2"/>
      <c r="C979" s="2"/>
      <c r="D979" s="2"/>
      <c r="E979" s="2"/>
      <c r="F979" s="2"/>
      <c r="G979" s="2"/>
      <c r="H979" s="2"/>
      <c r="I979" s="2"/>
      <c r="K979" s="2"/>
      <c r="L979" s="2"/>
      <c r="M979" s="2"/>
      <c r="N979" s="2"/>
      <c r="O979" s="2"/>
      <c r="P979" s="2"/>
      <c r="Q979" s="2"/>
      <c r="R979" s="2"/>
      <c r="S979" s="2"/>
      <c r="T979" s="2"/>
      <c r="U979" s="2"/>
      <c r="V979" s="2"/>
      <c r="W979" s="2"/>
      <c r="X979" s="2"/>
      <c r="Y979" s="2"/>
      <c r="Z979" s="2"/>
    </row>
    <row r="980" spans="1:26" ht="15.75" customHeight="1" x14ac:dyDescent="0.3">
      <c r="A980" s="2"/>
      <c r="B980" s="2"/>
      <c r="C980" s="2"/>
      <c r="D980" s="2"/>
      <c r="E980" s="2"/>
      <c r="F980" s="2"/>
      <c r="G980" s="2"/>
      <c r="H980" s="2"/>
      <c r="I980" s="2"/>
      <c r="K980" s="2"/>
      <c r="L980" s="2"/>
      <c r="M980" s="2"/>
      <c r="N980" s="2"/>
      <c r="O980" s="2"/>
      <c r="P980" s="2"/>
      <c r="Q980" s="2"/>
      <c r="R980" s="2"/>
      <c r="S980" s="2"/>
      <c r="T980" s="2"/>
      <c r="U980" s="2"/>
      <c r="V980" s="2"/>
      <c r="W980" s="2"/>
      <c r="X980" s="2"/>
      <c r="Y980" s="2"/>
      <c r="Z980" s="2"/>
    </row>
    <row r="981" spans="1:26" ht="15.75" customHeight="1" x14ac:dyDescent="0.3">
      <c r="A981" s="2"/>
      <c r="B981" s="2"/>
      <c r="C981" s="2"/>
      <c r="D981" s="2"/>
      <c r="E981" s="2"/>
      <c r="F981" s="2"/>
      <c r="G981" s="2"/>
      <c r="H981" s="2"/>
      <c r="I981" s="2"/>
      <c r="K981" s="2"/>
      <c r="L981" s="2"/>
      <c r="M981" s="2"/>
      <c r="N981" s="2"/>
      <c r="O981" s="2"/>
      <c r="P981" s="2"/>
      <c r="Q981" s="2"/>
      <c r="R981" s="2"/>
      <c r="S981" s="2"/>
      <c r="T981" s="2"/>
      <c r="U981" s="2"/>
      <c r="V981" s="2"/>
      <c r="W981" s="2"/>
      <c r="X981" s="2"/>
      <c r="Y981" s="2"/>
      <c r="Z981" s="2"/>
    </row>
    <row r="982" spans="1:26" ht="15.75" customHeight="1" x14ac:dyDescent="0.3">
      <c r="A982" s="2"/>
      <c r="B982" s="2"/>
      <c r="C982" s="2"/>
      <c r="D982" s="2"/>
      <c r="E982" s="2"/>
      <c r="F982" s="2"/>
      <c r="G982" s="2"/>
      <c r="H982" s="2"/>
      <c r="I982" s="2"/>
      <c r="K982" s="2"/>
      <c r="L982" s="2"/>
      <c r="M982" s="2"/>
      <c r="N982" s="2"/>
      <c r="O982" s="2"/>
      <c r="P982" s="2"/>
      <c r="Q982" s="2"/>
      <c r="R982" s="2"/>
      <c r="S982" s="2"/>
      <c r="T982" s="2"/>
      <c r="U982" s="2"/>
      <c r="V982" s="2"/>
      <c r="W982" s="2"/>
      <c r="X982" s="2"/>
      <c r="Y982" s="2"/>
      <c r="Z982" s="2"/>
    </row>
    <row r="983" spans="1:26" ht="15.75" customHeight="1" x14ac:dyDescent="0.3">
      <c r="A983" s="2"/>
      <c r="B983" s="2"/>
      <c r="C983" s="2"/>
      <c r="D983" s="2"/>
      <c r="E983" s="2"/>
      <c r="F983" s="2"/>
      <c r="G983" s="2"/>
      <c r="H983" s="2"/>
      <c r="I983" s="2"/>
      <c r="K983" s="2"/>
      <c r="L983" s="2"/>
      <c r="M983" s="2"/>
      <c r="N983" s="2"/>
      <c r="O983" s="2"/>
      <c r="P983" s="2"/>
      <c r="Q983" s="2"/>
      <c r="R983" s="2"/>
      <c r="S983" s="2"/>
      <c r="T983" s="2"/>
      <c r="U983" s="2"/>
      <c r="V983" s="2"/>
      <c r="W983" s="2"/>
      <c r="X983" s="2"/>
      <c r="Y983" s="2"/>
      <c r="Z983" s="2"/>
    </row>
    <row r="984" spans="1:26" ht="15.75" customHeight="1" x14ac:dyDescent="0.3">
      <c r="A984" s="2"/>
      <c r="B984" s="2"/>
      <c r="C984" s="2"/>
      <c r="D984" s="2"/>
      <c r="E984" s="2"/>
      <c r="F984" s="2"/>
      <c r="G984" s="2"/>
      <c r="H984" s="2"/>
      <c r="I984" s="2"/>
      <c r="K984" s="2"/>
      <c r="L984" s="2"/>
      <c r="M984" s="2"/>
      <c r="N984" s="2"/>
      <c r="O984" s="2"/>
      <c r="P984" s="2"/>
      <c r="Q984" s="2"/>
      <c r="R984" s="2"/>
      <c r="S984" s="2"/>
      <c r="T984" s="2"/>
      <c r="U984" s="2"/>
      <c r="V984" s="2"/>
      <c r="W984" s="2"/>
      <c r="X984" s="2"/>
      <c r="Y984" s="2"/>
      <c r="Z984" s="2"/>
    </row>
    <row r="985" spans="1:26" ht="15.75" customHeight="1" x14ac:dyDescent="0.3">
      <c r="A985" s="2"/>
      <c r="B985" s="2"/>
      <c r="C985" s="2"/>
      <c r="D985" s="2"/>
      <c r="E985" s="2"/>
      <c r="F985" s="2"/>
      <c r="G985" s="2"/>
      <c r="H985" s="2"/>
      <c r="I985" s="2"/>
      <c r="K985" s="2"/>
      <c r="L985" s="2"/>
      <c r="M985" s="2"/>
      <c r="N985" s="2"/>
      <c r="O985" s="2"/>
      <c r="P985" s="2"/>
      <c r="Q985" s="2"/>
      <c r="R985" s="2"/>
      <c r="S985" s="2"/>
      <c r="T985" s="2"/>
      <c r="U985" s="2"/>
      <c r="V985" s="2"/>
      <c r="W985" s="2"/>
      <c r="X985" s="2"/>
      <c r="Y985" s="2"/>
      <c r="Z985" s="2"/>
    </row>
    <row r="986" spans="1:26" ht="15.75" customHeight="1" x14ac:dyDescent="0.3">
      <c r="A986" s="2"/>
      <c r="B986" s="2"/>
      <c r="C986" s="2"/>
      <c r="D986" s="2"/>
      <c r="E986" s="2"/>
      <c r="F986" s="2"/>
      <c r="G986" s="2"/>
      <c r="H986" s="2"/>
      <c r="I986" s="2"/>
      <c r="K986" s="2"/>
      <c r="L986" s="2"/>
      <c r="M986" s="2"/>
      <c r="N986" s="2"/>
      <c r="O986" s="2"/>
      <c r="P986" s="2"/>
      <c r="Q986" s="2"/>
      <c r="R986" s="2"/>
      <c r="S986" s="2"/>
      <c r="T986" s="2"/>
      <c r="U986" s="2"/>
      <c r="V986" s="2"/>
      <c r="W986" s="2"/>
      <c r="X986" s="2"/>
      <c r="Y986" s="2"/>
      <c r="Z986" s="2"/>
    </row>
    <row r="987" spans="1:26" ht="15.75" customHeight="1" x14ac:dyDescent="0.3">
      <c r="A987" s="2"/>
      <c r="B987" s="2"/>
      <c r="C987" s="2"/>
      <c r="D987" s="2"/>
      <c r="E987" s="2"/>
      <c r="F987" s="2"/>
      <c r="G987" s="2"/>
      <c r="H987" s="2"/>
      <c r="I987" s="2"/>
      <c r="K987" s="2"/>
      <c r="L987" s="2"/>
      <c r="M987" s="2"/>
      <c r="N987" s="2"/>
      <c r="O987" s="2"/>
      <c r="P987" s="2"/>
      <c r="Q987" s="2"/>
      <c r="R987" s="2"/>
      <c r="S987" s="2"/>
      <c r="T987" s="2"/>
      <c r="U987" s="2"/>
      <c r="V987" s="2"/>
      <c r="W987" s="2"/>
      <c r="X987" s="2"/>
      <c r="Y987" s="2"/>
      <c r="Z987" s="2"/>
    </row>
    <row r="988" spans="1:26" ht="15.75" customHeight="1" x14ac:dyDescent="0.3">
      <c r="A988" s="2"/>
      <c r="B988" s="2"/>
      <c r="C988" s="2"/>
      <c r="D988" s="2"/>
      <c r="E988" s="2"/>
      <c r="F988" s="2"/>
      <c r="G988" s="2"/>
      <c r="H988" s="2"/>
      <c r="I988" s="2"/>
      <c r="K988" s="2"/>
      <c r="L988" s="2"/>
      <c r="M988" s="2"/>
      <c r="N988" s="2"/>
      <c r="O988" s="2"/>
      <c r="P988" s="2"/>
      <c r="Q988" s="2"/>
      <c r="R988" s="2"/>
      <c r="S988" s="2"/>
      <c r="T988" s="2"/>
      <c r="U988" s="2"/>
      <c r="V988" s="2"/>
      <c r="W988" s="2"/>
      <c r="X988" s="2"/>
      <c r="Y988" s="2"/>
      <c r="Z988" s="2"/>
    </row>
    <row r="989" spans="1:26" ht="15.75" customHeight="1" x14ac:dyDescent="0.3">
      <c r="A989" s="2"/>
      <c r="B989" s="2"/>
      <c r="C989" s="2"/>
      <c r="D989" s="2"/>
      <c r="E989" s="2"/>
      <c r="F989" s="2"/>
      <c r="G989" s="2"/>
      <c r="H989" s="2"/>
      <c r="I989" s="2"/>
      <c r="K989" s="2"/>
      <c r="L989" s="2"/>
      <c r="M989" s="2"/>
      <c r="N989" s="2"/>
      <c r="O989" s="2"/>
      <c r="P989" s="2"/>
      <c r="Q989" s="2"/>
      <c r="R989" s="2"/>
      <c r="S989" s="2"/>
      <c r="T989" s="2"/>
      <c r="U989" s="2"/>
      <c r="V989" s="2"/>
      <c r="W989" s="2"/>
      <c r="X989" s="2"/>
      <c r="Y989" s="2"/>
      <c r="Z989" s="2"/>
    </row>
    <row r="990" spans="1:26" ht="15.75" customHeight="1" x14ac:dyDescent="0.3">
      <c r="A990" s="2"/>
      <c r="B990" s="2"/>
      <c r="C990" s="2"/>
      <c r="D990" s="2"/>
      <c r="E990" s="2"/>
      <c r="F990" s="2"/>
      <c r="G990" s="2"/>
      <c r="H990" s="2"/>
      <c r="I990" s="2"/>
      <c r="K990" s="2"/>
      <c r="L990" s="2"/>
      <c r="M990" s="2"/>
      <c r="N990" s="2"/>
      <c r="O990" s="2"/>
      <c r="P990" s="2"/>
      <c r="Q990" s="2"/>
      <c r="R990" s="2"/>
      <c r="S990" s="2"/>
      <c r="T990" s="2"/>
      <c r="U990" s="2"/>
      <c r="V990" s="2"/>
      <c r="W990" s="2"/>
      <c r="X990" s="2"/>
      <c r="Y990" s="2"/>
      <c r="Z990" s="2"/>
    </row>
    <row r="991" spans="1:26" ht="15.75" customHeight="1" x14ac:dyDescent="0.3">
      <c r="A991" s="2"/>
      <c r="B991" s="2"/>
      <c r="C991" s="2"/>
      <c r="D991" s="2"/>
      <c r="E991" s="2"/>
      <c r="F991" s="2"/>
      <c r="G991" s="2"/>
      <c r="H991" s="2"/>
      <c r="I991" s="2"/>
      <c r="K991" s="2"/>
      <c r="L991" s="2"/>
      <c r="M991" s="2"/>
      <c r="N991" s="2"/>
      <c r="O991" s="2"/>
      <c r="P991" s="2"/>
      <c r="Q991" s="2"/>
      <c r="R991" s="2"/>
      <c r="S991" s="2"/>
      <c r="T991" s="2"/>
      <c r="U991" s="2"/>
      <c r="V991" s="2"/>
      <c r="W991" s="2"/>
      <c r="X991" s="2"/>
      <c r="Y991" s="2"/>
      <c r="Z991" s="2"/>
    </row>
    <row r="992" spans="1:26" ht="15.75" customHeight="1" x14ac:dyDescent="0.3">
      <c r="A992" s="2"/>
      <c r="B992" s="2"/>
      <c r="C992" s="2"/>
      <c r="D992" s="2"/>
      <c r="E992" s="2"/>
      <c r="F992" s="2"/>
      <c r="G992" s="2"/>
      <c r="H992" s="2"/>
      <c r="I992" s="2"/>
      <c r="K992" s="2"/>
      <c r="L992" s="2"/>
      <c r="M992" s="2"/>
      <c r="N992" s="2"/>
      <c r="O992" s="2"/>
      <c r="P992" s="2"/>
      <c r="Q992" s="2"/>
      <c r="R992" s="2"/>
      <c r="S992" s="2"/>
      <c r="T992" s="2"/>
      <c r="U992" s="2"/>
      <c r="V992" s="2"/>
      <c r="W992" s="2"/>
      <c r="X992" s="2"/>
      <c r="Y992" s="2"/>
      <c r="Z992" s="2"/>
    </row>
    <row r="993" spans="1:26" ht="15.75" customHeight="1" x14ac:dyDescent="0.3">
      <c r="A993" s="2"/>
      <c r="B993" s="2"/>
      <c r="C993" s="2"/>
      <c r="D993" s="2"/>
      <c r="E993" s="2"/>
      <c r="F993" s="2"/>
      <c r="G993" s="2"/>
      <c r="H993" s="2"/>
      <c r="I993" s="2"/>
      <c r="K993" s="2"/>
      <c r="L993" s="2"/>
      <c r="M993" s="2"/>
      <c r="N993" s="2"/>
      <c r="O993" s="2"/>
      <c r="P993" s="2"/>
      <c r="Q993" s="2"/>
      <c r="R993" s="2"/>
      <c r="S993" s="2"/>
      <c r="T993" s="2"/>
      <c r="U993" s="2"/>
      <c r="V993" s="2"/>
      <c r="W993" s="2"/>
      <c r="X993" s="2"/>
      <c r="Y993" s="2"/>
      <c r="Z993" s="2"/>
    </row>
    <row r="994" spans="1:26" ht="15.75" customHeight="1" x14ac:dyDescent="0.3">
      <c r="A994" s="2"/>
      <c r="B994" s="2"/>
      <c r="C994" s="2"/>
      <c r="D994" s="2"/>
      <c r="E994" s="2"/>
      <c r="F994" s="2"/>
      <c r="G994" s="2"/>
      <c r="H994" s="2"/>
      <c r="I994" s="2"/>
      <c r="K994" s="2"/>
      <c r="L994" s="2"/>
      <c r="M994" s="2"/>
      <c r="N994" s="2"/>
      <c r="O994" s="2"/>
      <c r="P994" s="2"/>
      <c r="Q994" s="2"/>
      <c r="R994" s="2"/>
      <c r="S994" s="2"/>
      <c r="T994" s="2"/>
      <c r="U994" s="2"/>
      <c r="V994" s="2"/>
      <c r="W994" s="2"/>
      <c r="X994" s="2"/>
      <c r="Y994" s="2"/>
      <c r="Z994" s="2"/>
    </row>
    <row r="995" spans="1:26" ht="15.75" customHeight="1" x14ac:dyDescent="0.3">
      <c r="A995" s="2"/>
      <c r="B995" s="2"/>
      <c r="C995" s="2"/>
      <c r="D995" s="2"/>
      <c r="E995" s="2"/>
      <c r="F995" s="2"/>
      <c r="G995" s="2"/>
      <c r="H995" s="2"/>
      <c r="I995" s="2"/>
      <c r="K995" s="2"/>
      <c r="L995" s="2"/>
      <c r="M995" s="2"/>
      <c r="N995" s="2"/>
      <c r="O995" s="2"/>
      <c r="P995" s="2"/>
      <c r="Q995" s="2"/>
      <c r="R995" s="2"/>
      <c r="S995" s="2"/>
      <c r="T995" s="2"/>
      <c r="U995" s="2"/>
      <c r="V995" s="2"/>
      <c r="W995" s="2"/>
      <c r="X995" s="2"/>
      <c r="Y995" s="2"/>
      <c r="Z995" s="2"/>
    </row>
    <row r="996" spans="1:26" ht="15.75" customHeight="1" x14ac:dyDescent="0.3">
      <c r="A996" s="2"/>
      <c r="B996" s="2"/>
      <c r="C996" s="2"/>
      <c r="D996" s="2"/>
      <c r="E996" s="2"/>
      <c r="F996" s="2"/>
      <c r="G996" s="2"/>
      <c r="H996" s="2"/>
      <c r="I996" s="2"/>
      <c r="K996" s="2"/>
      <c r="L996" s="2"/>
      <c r="M996" s="2"/>
      <c r="N996" s="2"/>
      <c r="O996" s="2"/>
      <c r="P996" s="2"/>
      <c r="Q996" s="2"/>
      <c r="R996" s="2"/>
      <c r="S996" s="2"/>
      <c r="T996" s="2"/>
      <c r="U996" s="2"/>
      <c r="V996" s="2"/>
      <c r="W996" s="2"/>
      <c r="X996" s="2"/>
      <c r="Y996" s="2"/>
      <c r="Z996" s="2"/>
    </row>
    <row r="997" spans="1:26" ht="15.75" customHeight="1" x14ac:dyDescent="0.3">
      <c r="A997" s="2"/>
      <c r="B997" s="2"/>
      <c r="C997" s="2"/>
      <c r="D997" s="2"/>
      <c r="E997" s="2"/>
      <c r="F997" s="2"/>
      <c r="G997" s="2"/>
      <c r="H997" s="2"/>
      <c r="I997" s="2"/>
      <c r="K997" s="2"/>
      <c r="L997" s="2"/>
      <c r="M997" s="2"/>
      <c r="N997" s="2"/>
      <c r="O997" s="2"/>
      <c r="P997" s="2"/>
      <c r="Q997" s="2"/>
      <c r="R997" s="2"/>
      <c r="S997" s="2"/>
      <c r="T997" s="2"/>
      <c r="U997" s="2"/>
      <c r="V997" s="2"/>
      <c r="W997" s="2"/>
      <c r="X997" s="2"/>
      <c r="Y997" s="2"/>
      <c r="Z997" s="2"/>
    </row>
    <row r="998" spans="1:26" ht="15.75" customHeight="1" x14ac:dyDescent="0.3">
      <c r="A998" s="2"/>
      <c r="B998" s="2"/>
      <c r="C998" s="2"/>
      <c r="D998" s="2"/>
      <c r="E998" s="2"/>
      <c r="F998" s="2"/>
      <c r="G998" s="2"/>
      <c r="H998" s="2"/>
      <c r="I998" s="2"/>
      <c r="K998" s="2"/>
      <c r="L998" s="2"/>
      <c r="M998" s="2"/>
      <c r="N998" s="2"/>
      <c r="O998" s="2"/>
      <c r="P998" s="2"/>
      <c r="Q998" s="2"/>
      <c r="R998" s="2"/>
      <c r="S998" s="2"/>
      <c r="T998" s="2"/>
      <c r="U998" s="2"/>
      <c r="V998" s="2"/>
      <c r="W998" s="2"/>
      <c r="X998" s="2"/>
      <c r="Y998" s="2"/>
      <c r="Z998" s="2"/>
    </row>
    <row r="999" spans="1:26" ht="15.75" customHeight="1" x14ac:dyDescent="0.3">
      <c r="A999" s="2"/>
      <c r="B999" s="2"/>
      <c r="C999" s="2"/>
      <c r="D999" s="2"/>
      <c r="E999" s="2"/>
      <c r="F999" s="2"/>
      <c r="G999" s="2"/>
      <c r="H999" s="2"/>
      <c r="I999" s="2"/>
      <c r="K999" s="2"/>
      <c r="L999" s="2"/>
      <c r="M999" s="2"/>
      <c r="N999" s="2"/>
      <c r="O999" s="2"/>
      <c r="P999" s="2"/>
      <c r="Q999" s="2"/>
      <c r="R999" s="2"/>
      <c r="S999" s="2"/>
      <c r="T999" s="2"/>
      <c r="U999" s="2"/>
      <c r="V999" s="2"/>
      <c r="W999" s="2"/>
      <c r="X999" s="2"/>
      <c r="Y999" s="2"/>
      <c r="Z999" s="2"/>
    </row>
    <row r="1000" spans="1:26" ht="15.75" customHeight="1" x14ac:dyDescent="0.3">
      <c r="A1000" s="2"/>
      <c r="B1000" s="2"/>
      <c r="C1000" s="2"/>
      <c r="D1000" s="2"/>
      <c r="E1000" s="2"/>
      <c r="F1000" s="2"/>
      <c r="G1000" s="2"/>
      <c r="H1000" s="2"/>
      <c r="I1000" s="2"/>
      <c r="K1000" s="2"/>
      <c r="L1000" s="2"/>
      <c r="M1000" s="2"/>
      <c r="N1000" s="2"/>
      <c r="O1000" s="2"/>
      <c r="P1000" s="2"/>
      <c r="Q1000" s="2"/>
      <c r="R1000" s="2"/>
      <c r="S1000" s="2"/>
      <c r="T1000" s="2"/>
      <c r="U1000" s="2"/>
      <c r="V1000" s="2"/>
      <c r="W1000" s="2"/>
      <c r="X1000" s="2"/>
      <c r="Y1000" s="2"/>
      <c r="Z1000" s="2"/>
    </row>
  </sheetData>
  <mergeCells count="3">
    <mergeCell ref="A24:B24"/>
    <mergeCell ref="D24:E24"/>
    <mergeCell ref="G24:H24"/>
  </mergeCell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D1872-BD4B-4119-BD1A-DB831409F5F8}">
  <dimension ref="A1:E12"/>
  <sheetViews>
    <sheetView workbookViewId="0">
      <selection activeCell="I14" sqref="I14"/>
    </sheetView>
  </sheetViews>
  <sheetFormatPr defaultRowHeight="14.4" x14ac:dyDescent="0.3"/>
  <cols>
    <col min="1" max="1" width="14" customWidth="1"/>
    <col min="2" max="2" width="14.33203125" customWidth="1"/>
    <col min="4" max="4" width="15.44140625" customWidth="1"/>
    <col min="5" max="5" width="16.21875" customWidth="1"/>
  </cols>
  <sheetData>
    <row r="1" spans="1:5" x14ac:dyDescent="0.3">
      <c r="A1" s="77" t="s">
        <v>140</v>
      </c>
      <c r="B1" s="78" t="s">
        <v>141</v>
      </c>
      <c r="C1" s="79" t="s">
        <v>142</v>
      </c>
      <c r="E1" s="7"/>
    </row>
    <row r="2" spans="1:5" x14ac:dyDescent="0.3">
      <c r="A2" s="80" t="s">
        <v>143</v>
      </c>
      <c r="B2" s="81" t="s">
        <v>90</v>
      </c>
      <c r="C2" s="68">
        <v>45000</v>
      </c>
    </row>
    <row r="3" spans="1:5" x14ac:dyDescent="0.3">
      <c r="A3" s="80" t="s">
        <v>145</v>
      </c>
      <c r="B3" s="81" t="s">
        <v>88</v>
      </c>
      <c r="C3" s="68">
        <v>15000</v>
      </c>
    </row>
    <row r="4" spans="1:5" x14ac:dyDescent="0.3">
      <c r="A4" s="80" t="s">
        <v>144</v>
      </c>
      <c r="B4" s="81" t="s">
        <v>70</v>
      </c>
      <c r="C4" s="68">
        <v>2500</v>
      </c>
    </row>
    <row r="5" spans="1:5" x14ac:dyDescent="0.3">
      <c r="A5" s="80" t="s">
        <v>148</v>
      </c>
      <c r="B5" s="81" t="s">
        <v>76</v>
      </c>
      <c r="C5" s="68">
        <v>800</v>
      </c>
    </row>
    <row r="6" spans="1:5" ht="15" thickBot="1" x14ac:dyDescent="0.35">
      <c r="A6" s="82" t="s">
        <v>149</v>
      </c>
      <c r="B6" s="83" t="s">
        <v>73</v>
      </c>
      <c r="C6" s="71">
        <v>8000</v>
      </c>
    </row>
    <row r="8" spans="1:5" ht="15" thickBot="1" x14ac:dyDescent="0.35"/>
    <row r="9" spans="1:5" x14ac:dyDescent="0.3">
      <c r="A9" s="84" t="s">
        <v>158</v>
      </c>
      <c r="B9" s="85"/>
      <c r="D9" s="84" t="s">
        <v>159</v>
      </c>
      <c r="E9" s="85"/>
    </row>
    <row r="10" spans="1:5" x14ac:dyDescent="0.3">
      <c r="A10" s="86" t="s">
        <v>155</v>
      </c>
      <c r="B10" s="87">
        <v>1001</v>
      </c>
      <c r="D10" s="86" t="s">
        <v>150</v>
      </c>
      <c r="E10" s="87" t="s">
        <v>148</v>
      </c>
    </row>
    <row r="11" spans="1:5" x14ac:dyDescent="0.3">
      <c r="A11" s="86" t="s">
        <v>156</v>
      </c>
      <c r="B11" s="88" t="str">
        <f>VLOOKUP(B10, 'Students (Grade)'!A2:B21, 2, FALSE)</f>
        <v>Student 1</v>
      </c>
      <c r="D11" s="86" t="s">
        <v>146</v>
      </c>
      <c r="E11" s="87" t="str">
        <f>VLOOKUP(E10,A2:C6,2,FALSE)</f>
        <v>Mouse</v>
      </c>
    </row>
    <row r="12" spans="1:5" ht="15" thickBot="1" x14ac:dyDescent="0.35">
      <c r="A12" s="89" t="s">
        <v>157</v>
      </c>
      <c r="B12" s="90" t="str">
        <f>VLOOKUP(B10, 'Students (Grade)'!A2:I21, 9, FALSE)</f>
        <v>C</v>
      </c>
      <c r="D12" s="89" t="s">
        <v>147</v>
      </c>
      <c r="E12" s="91">
        <f>VLOOKUP(E10,A2:C6,3,FALSE)</f>
        <v>800</v>
      </c>
    </row>
  </sheetData>
  <mergeCells count="2">
    <mergeCell ref="A9:B9"/>
    <mergeCell ref="D9:E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000"/>
  <sheetViews>
    <sheetView topLeftCell="A3" workbookViewId="0">
      <selection activeCell="A24" sqref="A23:B27"/>
    </sheetView>
  </sheetViews>
  <sheetFormatPr defaultColWidth="14.44140625" defaultRowHeight="15" customHeight="1" x14ac:dyDescent="0.3"/>
  <cols>
    <col min="1" max="1" width="12" customWidth="1"/>
    <col min="2" max="2" width="12.109375" customWidth="1"/>
    <col min="3" max="3" width="11.6640625" customWidth="1"/>
    <col min="4" max="4" width="10" customWidth="1"/>
    <col min="5" max="5" width="18.88671875" customWidth="1"/>
    <col min="6" max="6" width="8.6640625" customWidth="1"/>
    <col min="7" max="7" width="15.88671875" customWidth="1"/>
    <col min="8" max="8" width="14.77734375" customWidth="1"/>
    <col min="9" max="9" width="8.6640625" customWidth="1"/>
    <col min="10" max="10" width="15" customWidth="1"/>
    <col min="11" max="11" width="16.44140625" customWidth="1"/>
    <col min="12" max="12" width="12.6640625" customWidth="1"/>
    <col min="13" max="13" width="11.6640625" customWidth="1"/>
    <col min="14" max="25" width="8.6640625" customWidth="1"/>
  </cols>
  <sheetData>
    <row r="1" spans="1:25" ht="14.4" x14ac:dyDescent="0.3">
      <c r="A1" s="92" t="s">
        <v>99</v>
      </c>
      <c r="B1" s="92" t="s">
        <v>39</v>
      </c>
      <c r="C1" s="92" t="s">
        <v>100</v>
      </c>
      <c r="D1" s="92" t="s">
        <v>101</v>
      </c>
      <c r="E1" s="92" t="s">
        <v>102</v>
      </c>
      <c r="F1" s="2"/>
      <c r="G1" s="95" t="s">
        <v>164</v>
      </c>
      <c r="H1" s="95" t="s">
        <v>167</v>
      </c>
      <c r="I1" s="2"/>
      <c r="J1" s="2"/>
      <c r="K1" s="2"/>
      <c r="L1" s="2"/>
      <c r="M1" s="2"/>
      <c r="N1" s="2"/>
      <c r="O1" s="2"/>
      <c r="P1" s="2"/>
      <c r="Q1" s="2"/>
      <c r="R1" s="2"/>
      <c r="S1" s="2"/>
      <c r="T1" s="2"/>
      <c r="U1" s="2"/>
      <c r="V1" s="2"/>
      <c r="W1" s="2"/>
      <c r="X1" s="2"/>
      <c r="Y1" s="2"/>
    </row>
    <row r="2" spans="1:25" ht="14.4" x14ac:dyDescent="0.3">
      <c r="A2" s="93">
        <v>3001</v>
      </c>
      <c r="B2" s="93" t="s">
        <v>103</v>
      </c>
      <c r="C2" s="93" t="s">
        <v>104</v>
      </c>
      <c r="D2" s="93">
        <v>86766</v>
      </c>
      <c r="E2" s="94">
        <v>42005</v>
      </c>
      <c r="F2" s="2"/>
      <c r="G2" s="96" t="str">
        <f>IF(D2&gt;50000, "Eligible", "Not Eligible")</f>
        <v>Eligible</v>
      </c>
      <c r="H2" s="96">
        <f ca="1">IF(E2&gt;TODAY(), "Not Available", DATEDIF(E2, TODAY(), "Y"))</f>
        <v>10</v>
      </c>
      <c r="I2" s="2"/>
      <c r="J2" s="2"/>
      <c r="K2" s="2"/>
      <c r="L2" s="2"/>
      <c r="M2" s="2"/>
      <c r="N2" s="2"/>
      <c r="O2" s="2"/>
      <c r="P2" s="2"/>
      <c r="Q2" s="2"/>
      <c r="R2" s="2"/>
      <c r="S2" s="2"/>
      <c r="T2" s="2"/>
      <c r="U2" s="2"/>
      <c r="V2" s="2"/>
      <c r="W2" s="2"/>
      <c r="X2" s="2"/>
      <c r="Y2" s="2"/>
    </row>
    <row r="3" spans="1:25" ht="14.4" x14ac:dyDescent="0.3">
      <c r="A3" s="93">
        <v>3002</v>
      </c>
      <c r="B3" s="93" t="s">
        <v>105</v>
      </c>
      <c r="C3" s="93" t="s">
        <v>104</v>
      </c>
      <c r="D3" s="93">
        <v>31943</v>
      </c>
      <c r="E3" s="94">
        <v>42255</v>
      </c>
      <c r="F3" s="2"/>
      <c r="G3" s="96" t="str">
        <f t="shared" ref="G3:G21" si="0">IF(D3&gt;50000, "Eligible", "Not Eligible")</f>
        <v>Not Eligible</v>
      </c>
      <c r="H3" s="96">
        <f t="shared" ref="H3:H21" ca="1" si="1">IF(E3&gt;TODAY(), "Not Available", DATEDIF(E3, TODAY(), "Y"))</f>
        <v>10</v>
      </c>
      <c r="I3" s="2"/>
      <c r="J3" s="2"/>
      <c r="K3" s="2"/>
      <c r="L3" s="2"/>
      <c r="M3" s="2"/>
      <c r="N3" s="2"/>
      <c r="O3" s="2"/>
      <c r="P3" s="2"/>
      <c r="Q3" s="2"/>
      <c r="R3" s="2"/>
      <c r="S3" s="2"/>
      <c r="T3" s="2"/>
      <c r="U3" s="2"/>
      <c r="V3" s="2"/>
      <c r="W3" s="2"/>
      <c r="X3" s="2"/>
      <c r="Y3" s="2"/>
    </row>
    <row r="4" spans="1:25" ht="14.4" x14ac:dyDescent="0.3">
      <c r="A4" s="93">
        <v>3003</v>
      </c>
      <c r="B4" s="93" t="s">
        <v>106</v>
      </c>
      <c r="C4" s="93" t="s">
        <v>107</v>
      </c>
      <c r="D4" s="93">
        <v>63374</v>
      </c>
      <c r="E4" s="94">
        <v>42505</v>
      </c>
      <c r="F4" s="2"/>
      <c r="G4" s="96" t="str">
        <f t="shared" si="0"/>
        <v>Eligible</v>
      </c>
      <c r="H4" s="96">
        <f t="shared" ca="1" si="1"/>
        <v>9</v>
      </c>
      <c r="I4" s="2"/>
      <c r="J4" s="2"/>
      <c r="K4" s="2"/>
      <c r="L4" s="2"/>
      <c r="M4" s="2"/>
      <c r="N4" s="2"/>
      <c r="O4" s="2"/>
      <c r="P4" s="2"/>
      <c r="Q4" s="2"/>
      <c r="R4" s="2"/>
      <c r="S4" s="2"/>
      <c r="T4" s="2"/>
      <c r="U4" s="2"/>
      <c r="V4" s="2"/>
      <c r="W4" s="2"/>
      <c r="X4" s="2"/>
      <c r="Y4" s="2"/>
    </row>
    <row r="5" spans="1:25" ht="14.4" x14ac:dyDescent="0.3">
      <c r="A5" s="93">
        <v>3004</v>
      </c>
      <c r="B5" s="93" t="s">
        <v>108</v>
      </c>
      <c r="C5" s="93" t="s">
        <v>104</v>
      </c>
      <c r="D5" s="93">
        <v>109972</v>
      </c>
      <c r="E5" s="94">
        <v>42755</v>
      </c>
      <c r="F5" s="2"/>
      <c r="G5" s="96" t="str">
        <f t="shared" si="0"/>
        <v>Eligible</v>
      </c>
      <c r="H5" s="96">
        <f t="shared" ca="1" si="1"/>
        <v>8</v>
      </c>
      <c r="I5" s="2"/>
      <c r="J5" s="2"/>
      <c r="K5" s="2"/>
      <c r="L5" s="2"/>
      <c r="M5" s="2"/>
      <c r="N5" s="2"/>
      <c r="O5" s="2"/>
      <c r="P5" s="2"/>
      <c r="Q5" s="2"/>
      <c r="R5" s="2"/>
      <c r="S5" s="2"/>
      <c r="T5" s="2"/>
      <c r="U5" s="2"/>
      <c r="V5" s="2"/>
      <c r="W5" s="2"/>
      <c r="X5" s="2"/>
      <c r="Y5" s="2"/>
    </row>
    <row r="6" spans="1:25" ht="14.4" x14ac:dyDescent="0.3">
      <c r="A6" s="93">
        <v>3005</v>
      </c>
      <c r="B6" s="93" t="s">
        <v>109</v>
      </c>
      <c r="C6" s="93" t="s">
        <v>110</v>
      </c>
      <c r="D6" s="93">
        <v>54149</v>
      </c>
      <c r="E6" s="94">
        <v>43005</v>
      </c>
      <c r="F6" s="2"/>
      <c r="G6" s="96" t="str">
        <f t="shared" si="0"/>
        <v>Eligible</v>
      </c>
      <c r="H6" s="96">
        <f t="shared" ca="1" si="1"/>
        <v>8</v>
      </c>
      <c r="I6" s="2"/>
      <c r="J6" s="2"/>
      <c r="K6" s="2"/>
      <c r="L6" s="2"/>
      <c r="M6" s="2"/>
      <c r="N6" s="2"/>
      <c r="O6" s="2"/>
      <c r="P6" s="2"/>
      <c r="Q6" s="2"/>
      <c r="R6" s="2"/>
      <c r="S6" s="2"/>
      <c r="T6" s="2"/>
      <c r="U6" s="2"/>
      <c r="V6" s="2"/>
      <c r="W6" s="2"/>
      <c r="X6" s="2"/>
      <c r="Y6" s="2"/>
    </row>
    <row r="7" spans="1:25" ht="14.4" x14ac:dyDescent="0.3">
      <c r="A7" s="93">
        <v>3006</v>
      </c>
      <c r="B7" s="93" t="s">
        <v>111</v>
      </c>
      <c r="C7" s="93" t="s">
        <v>110</v>
      </c>
      <c r="D7" s="93">
        <v>78689</v>
      </c>
      <c r="E7" s="94">
        <v>43255</v>
      </c>
      <c r="F7" s="2"/>
      <c r="G7" s="96" t="str">
        <f t="shared" si="0"/>
        <v>Eligible</v>
      </c>
      <c r="H7" s="96">
        <f t="shared" ca="1" si="1"/>
        <v>7</v>
      </c>
      <c r="I7" s="2"/>
      <c r="J7" s="2"/>
      <c r="K7" s="2"/>
      <c r="L7" s="2"/>
      <c r="M7" s="2"/>
      <c r="N7" s="2"/>
      <c r="O7" s="2"/>
      <c r="P7" s="2"/>
      <c r="Q7" s="2"/>
      <c r="R7" s="2"/>
      <c r="S7" s="2"/>
      <c r="T7" s="2"/>
      <c r="U7" s="2"/>
      <c r="V7" s="2"/>
      <c r="W7" s="2"/>
      <c r="X7" s="2"/>
      <c r="Y7" s="2"/>
    </row>
    <row r="8" spans="1:25" ht="14.4" x14ac:dyDescent="0.3">
      <c r="A8" s="93">
        <v>3007</v>
      </c>
      <c r="B8" s="93" t="s">
        <v>112</v>
      </c>
      <c r="C8" s="93" t="s">
        <v>113</v>
      </c>
      <c r="D8" s="93">
        <v>35960</v>
      </c>
      <c r="E8" s="94">
        <v>43505</v>
      </c>
      <c r="F8" s="2"/>
      <c r="G8" s="96" t="str">
        <f t="shared" si="0"/>
        <v>Not Eligible</v>
      </c>
      <c r="H8" s="96">
        <f t="shared" ca="1" si="1"/>
        <v>6</v>
      </c>
      <c r="I8" s="2"/>
      <c r="J8" s="2"/>
      <c r="K8" s="2"/>
      <c r="L8" s="2"/>
      <c r="M8" s="2"/>
      <c r="N8" s="2"/>
      <c r="O8" s="2"/>
      <c r="P8" s="2"/>
      <c r="Q8" s="2"/>
      <c r="R8" s="2"/>
      <c r="S8" s="2"/>
      <c r="T8" s="2"/>
      <c r="U8" s="2"/>
      <c r="V8" s="2"/>
      <c r="W8" s="2"/>
      <c r="X8" s="2"/>
      <c r="Y8" s="2"/>
    </row>
    <row r="9" spans="1:25" ht="14.4" x14ac:dyDescent="0.3">
      <c r="A9" s="93">
        <v>3008</v>
      </c>
      <c r="B9" s="93" t="s">
        <v>114</v>
      </c>
      <c r="C9" s="93" t="s">
        <v>110</v>
      </c>
      <c r="D9" s="93">
        <v>91659</v>
      </c>
      <c r="E9" s="94">
        <v>43755</v>
      </c>
      <c r="F9" s="2"/>
      <c r="G9" s="96" t="str">
        <f t="shared" si="0"/>
        <v>Eligible</v>
      </c>
      <c r="H9" s="96">
        <f t="shared" ca="1" si="1"/>
        <v>6</v>
      </c>
      <c r="I9" s="2"/>
      <c r="J9" s="2"/>
      <c r="K9" s="2"/>
      <c r="L9" s="2"/>
      <c r="M9" s="2"/>
      <c r="N9" s="2"/>
      <c r="O9" s="2"/>
      <c r="P9" s="2"/>
      <c r="Q9" s="2"/>
      <c r="R9" s="2"/>
      <c r="S9" s="2"/>
      <c r="T9" s="2"/>
      <c r="U9" s="2"/>
      <c r="V9" s="2"/>
      <c r="W9" s="2"/>
      <c r="X9" s="2"/>
      <c r="Y9" s="2"/>
    </row>
    <row r="10" spans="1:25" ht="14.4" x14ac:dyDescent="0.3">
      <c r="A10" s="93">
        <v>3009</v>
      </c>
      <c r="B10" s="93" t="s">
        <v>115</v>
      </c>
      <c r="C10" s="93" t="s">
        <v>110</v>
      </c>
      <c r="D10" s="93">
        <v>90423</v>
      </c>
      <c r="E10" s="94">
        <v>44005</v>
      </c>
      <c r="F10" s="2"/>
      <c r="G10" s="96" t="str">
        <f t="shared" si="0"/>
        <v>Eligible</v>
      </c>
      <c r="H10" s="96">
        <f t="shared" ca="1" si="1"/>
        <v>5</v>
      </c>
      <c r="I10" s="2"/>
      <c r="J10" s="2"/>
      <c r="K10" s="2"/>
      <c r="L10" s="2"/>
      <c r="M10" s="2"/>
      <c r="N10" s="2"/>
      <c r="O10" s="2"/>
      <c r="P10" s="2"/>
      <c r="Q10" s="2"/>
      <c r="R10" s="2"/>
      <c r="S10" s="2"/>
      <c r="T10" s="2"/>
      <c r="U10" s="2"/>
      <c r="V10" s="2"/>
      <c r="W10" s="2"/>
      <c r="X10" s="2"/>
      <c r="Y10" s="2"/>
    </row>
    <row r="11" spans="1:25" ht="14.4" x14ac:dyDescent="0.3">
      <c r="A11" s="93">
        <v>3010</v>
      </c>
      <c r="B11" s="93" t="s">
        <v>116</v>
      </c>
      <c r="C11" s="93" t="s">
        <v>107</v>
      </c>
      <c r="D11" s="93">
        <v>107877</v>
      </c>
      <c r="E11" s="94">
        <v>44255</v>
      </c>
      <c r="F11" s="2"/>
      <c r="G11" s="96" t="str">
        <f t="shared" si="0"/>
        <v>Eligible</v>
      </c>
      <c r="H11" s="96">
        <f t="shared" ca="1" si="1"/>
        <v>4</v>
      </c>
      <c r="I11" s="2"/>
      <c r="J11" s="2"/>
      <c r="K11" s="2"/>
      <c r="L11" s="2"/>
      <c r="M11" s="2"/>
      <c r="N11" s="2"/>
      <c r="O11" s="2"/>
      <c r="P11" s="2"/>
      <c r="Q11" s="2"/>
      <c r="R11" s="2"/>
      <c r="S11" s="2"/>
      <c r="T11" s="2"/>
      <c r="U11" s="2"/>
      <c r="V11" s="2"/>
      <c r="W11" s="2"/>
      <c r="X11" s="2"/>
      <c r="Y11" s="2"/>
    </row>
    <row r="12" spans="1:25" ht="14.4" x14ac:dyDescent="0.3">
      <c r="A12" s="93">
        <v>3011</v>
      </c>
      <c r="B12" s="93" t="s">
        <v>117</v>
      </c>
      <c r="C12" s="93" t="s">
        <v>104</v>
      </c>
      <c r="D12" s="93">
        <v>107634</v>
      </c>
      <c r="E12" s="94">
        <v>44505</v>
      </c>
      <c r="F12" s="2"/>
      <c r="G12" s="96" t="str">
        <f t="shared" si="0"/>
        <v>Eligible</v>
      </c>
      <c r="H12" s="96">
        <f t="shared" ca="1" si="1"/>
        <v>4</v>
      </c>
      <c r="I12" s="2"/>
      <c r="J12" s="2"/>
      <c r="K12" s="2"/>
      <c r="L12" s="2"/>
      <c r="M12" s="2"/>
      <c r="N12" s="2"/>
      <c r="O12" s="2"/>
      <c r="P12" s="2"/>
      <c r="Q12" s="2"/>
      <c r="R12" s="2"/>
      <c r="S12" s="2"/>
      <c r="T12" s="2"/>
      <c r="U12" s="2"/>
      <c r="V12" s="2"/>
      <c r="W12" s="2"/>
      <c r="X12" s="2"/>
      <c r="Y12" s="2"/>
    </row>
    <row r="13" spans="1:25" ht="14.4" x14ac:dyDescent="0.3">
      <c r="A13" s="93">
        <v>3012</v>
      </c>
      <c r="B13" s="93" t="s">
        <v>118</v>
      </c>
      <c r="C13" s="93" t="s">
        <v>104</v>
      </c>
      <c r="D13" s="93">
        <v>35226</v>
      </c>
      <c r="E13" s="94">
        <v>44755</v>
      </c>
      <c r="F13" s="2"/>
      <c r="G13" s="96" t="str">
        <f t="shared" si="0"/>
        <v>Not Eligible</v>
      </c>
      <c r="H13" s="96">
        <f t="shared" ca="1" si="1"/>
        <v>3</v>
      </c>
      <c r="I13" s="2"/>
      <c r="J13" s="2"/>
      <c r="K13" s="2"/>
      <c r="L13" s="2"/>
      <c r="M13" s="2"/>
      <c r="N13" s="2"/>
      <c r="O13" s="2"/>
      <c r="P13" s="2"/>
      <c r="Q13" s="2"/>
      <c r="R13" s="2"/>
      <c r="S13" s="2"/>
      <c r="T13" s="2"/>
      <c r="U13" s="2"/>
      <c r="V13" s="2"/>
      <c r="W13" s="2"/>
      <c r="X13" s="2"/>
      <c r="Y13" s="2"/>
    </row>
    <row r="14" spans="1:25" ht="14.4" x14ac:dyDescent="0.3">
      <c r="A14" s="93">
        <v>3013</v>
      </c>
      <c r="B14" s="93" t="s">
        <v>119</v>
      </c>
      <c r="C14" s="93" t="s">
        <v>107</v>
      </c>
      <c r="D14" s="93">
        <v>40872</v>
      </c>
      <c r="E14" s="94">
        <v>45005</v>
      </c>
      <c r="F14" s="2"/>
      <c r="G14" s="96" t="str">
        <f t="shared" si="0"/>
        <v>Not Eligible</v>
      </c>
      <c r="H14" s="96">
        <f t="shared" ca="1" si="1"/>
        <v>2</v>
      </c>
      <c r="I14" s="2"/>
      <c r="J14" s="2"/>
      <c r="K14" s="2"/>
      <c r="L14" s="2"/>
      <c r="M14" s="2"/>
      <c r="N14" s="2"/>
      <c r="O14" s="2"/>
      <c r="P14" s="2"/>
      <c r="Q14" s="2"/>
      <c r="R14" s="2"/>
      <c r="S14" s="2"/>
      <c r="T14" s="2"/>
      <c r="U14" s="2"/>
      <c r="V14" s="2"/>
      <c r="W14" s="2"/>
      <c r="X14" s="2"/>
      <c r="Y14" s="2"/>
    </row>
    <row r="15" spans="1:25" ht="14.4" x14ac:dyDescent="0.3">
      <c r="A15" s="93">
        <v>3014</v>
      </c>
      <c r="B15" s="93" t="s">
        <v>120</v>
      </c>
      <c r="C15" s="93" t="s">
        <v>107</v>
      </c>
      <c r="D15" s="93">
        <v>55378</v>
      </c>
      <c r="E15" s="94">
        <v>45255</v>
      </c>
      <c r="F15" s="2"/>
      <c r="G15" s="96" t="str">
        <f t="shared" si="0"/>
        <v>Eligible</v>
      </c>
      <c r="H15" s="96">
        <f t="shared" ca="1" si="1"/>
        <v>2</v>
      </c>
      <c r="I15" s="2"/>
      <c r="J15" s="2"/>
      <c r="K15" s="2"/>
      <c r="L15" s="2"/>
      <c r="M15" s="2"/>
      <c r="N15" s="2"/>
      <c r="O15" s="2"/>
      <c r="P15" s="2"/>
      <c r="Q15" s="2"/>
      <c r="R15" s="2"/>
      <c r="S15" s="2"/>
      <c r="T15" s="2"/>
      <c r="U15" s="2"/>
      <c r="V15" s="2"/>
      <c r="W15" s="2"/>
      <c r="X15" s="2"/>
      <c r="Y15" s="2"/>
    </row>
    <row r="16" spans="1:25" ht="14.4" x14ac:dyDescent="0.3">
      <c r="A16" s="93">
        <v>3015</v>
      </c>
      <c r="B16" s="93" t="s">
        <v>121</v>
      </c>
      <c r="C16" s="93" t="s">
        <v>107</v>
      </c>
      <c r="D16" s="93">
        <v>63297</v>
      </c>
      <c r="E16" s="94">
        <v>45505</v>
      </c>
      <c r="F16" s="2"/>
      <c r="G16" s="96" t="str">
        <f t="shared" si="0"/>
        <v>Eligible</v>
      </c>
      <c r="H16" s="96">
        <f t="shared" ca="1" si="1"/>
        <v>1</v>
      </c>
      <c r="I16" s="2"/>
      <c r="J16" s="2"/>
      <c r="K16" s="2"/>
      <c r="L16" s="2"/>
      <c r="M16" s="2"/>
      <c r="N16" s="2"/>
      <c r="O16" s="2"/>
      <c r="P16" s="2"/>
      <c r="Q16" s="2"/>
      <c r="R16" s="2"/>
      <c r="S16" s="2"/>
      <c r="T16" s="2"/>
      <c r="U16" s="2"/>
      <c r="V16" s="2"/>
      <c r="W16" s="2"/>
      <c r="X16" s="2"/>
      <c r="Y16" s="2"/>
    </row>
    <row r="17" spans="1:25" ht="14.4" x14ac:dyDescent="0.3">
      <c r="A17" s="93">
        <v>3016</v>
      </c>
      <c r="B17" s="93" t="s">
        <v>122</v>
      </c>
      <c r="C17" s="93" t="s">
        <v>104</v>
      </c>
      <c r="D17" s="93">
        <v>114173</v>
      </c>
      <c r="E17" s="94">
        <v>45755</v>
      </c>
      <c r="F17" s="2"/>
      <c r="G17" s="96" t="str">
        <f t="shared" si="0"/>
        <v>Eligible</v>
      </c>
      <c r="H17" s="96">
        <f t="shared" ca="1" si="1"/>
        <v>0</v>
      </c>
      <c r="I17" s="2"/>
      <c r="J17" s="2"/>
      <c r="K17" s="2"/>
      <c r="L17" s="2"/>
      <c r="M17" s="2"/>
      <c r="N17" s="2"/>
      <c r="O17" s="2"/>
      <c r="P17" s="2"/>
      <c r="Q17" s="2"/>
      <c r="R17" s="2"/>
      <c r="S17" s="2"/>
      <c r="T17" s="2"/>
      <c r="U17" s="2"/>
      <c r="V17" s="2"/>
      <c r="W17" s="2"/>
      <c r="X17" s="2"/>
      <c r="Y17" s="2"/>
    </row>
    <row r="18" spans="1:25" ht="14.4" x14ac:dyDescent="0.3">
      <c r="A18" s="93">
        <v>3017</v>
      </c>
      <c r="B18" s="93" t="s">
        <v>123</v>
      </c>
      <c r="C18" s="93" t="s">
        <v>107</v>
      </c>
      <c r="D18" s="93">
        <v>86915</v>
      </c>
      <c r="E18" s="94">
        <v>46005</v>
      </c>
      <c r="F18" s="2"/>
      <c r="G18" s="96" t="str">
        <f t="shared" si="0"/>
        <v>Eligible</v>
      </c>
      <c r="H18" s="96">
        <f t="shared" ca="1" si="1"/>
        <v>0</v>
      </c>
      <c r="I18" s="2"/>
      <c r="J18" s="2"/>
      <c r="K18" s="2"/>
      <c r="L18" s="2"/>
      <c r="M18" s="2"/>
      <c r="N18" s="2"/>
      <c r="O18" s="2"/>
      <c r="P18" s="2"/>
      <c r="Q18" s="2"/>
      <c r="R18" s="2"/>
      <c r="S18" s="2"/>
      <c r="T18" s="2"/>
      <c r="U18" s="2"/>
      <c r="V18" s="2"/>
      <c r="W18" s="2"/>
      <c r="X18" s="2"/>
      <c r="Y18" s="2"/>
    </row>
    <row r="19" spans="1:25" ht="14.4" x14ac:dyDescent="0.3">
      <c r="A19" s="93">
        <v>3018</v>
      </c>
      <c r="B19" s="93" t="s">
        <v>124</v>
      </c>
      <c r="C19" s="93" t="s">
        <v>110</v>
      </c>
      <c r="D19" s="93">
        <v>116284</v>
      </c>
      <c r="E19" s="94">
        <v>46255</v>
      </c>
      <c r="F19" s="2"/>
      <c r="G19" s="96" t="str">
        <f t="shared" si="0"/>
        <v>Eligible</v>
      </c>
      <c r="H19" s="96" t="str">
        <f t="shared" ca="1" si="1"/>
        <v>Not Available</v>
      </c>
      <c r="I19" s="2"/>
      <c r="J19" s="2"/>
      <c r="K19" s="2"/>
      <c r="L19" s="2"/>
      <c r="M19" s="2"/>
      <c r="N19" s="2"/>
      <c r="O19" s="2"/>
      <c r="P19" s="2"/>
      <c r="Q19" s="2"/>
      <c r="R19" s="2"/>
      <c r="S19" s="2"/>
      <c r="T19" s="2"/>
      <c r="U19" s="2"/>
      <c r="V19" s="2"/>
      <c r="W19" s="2"/>
      <c r="X19" s="2"/>
      <c r="Y19" s="2"/>
    </row>
    <row r="20" spans="1:25" ht="14.4" x14ac:dyDescent="0.3">
      <c r="A20" s="93">
        <v>3019</v>
      </c>
      <c r="B20" s="93" t="s">
        <v>125</v>
      </c>
      <c r="C20" s="93" t="s">
        <v>113</v>
      </c>
      <c r="D20" s="93">
        <v>116283</v>
      </c>
      <c r="E20" s="94">
        <v>46505</v>
      </c>
      <c r="F20" s="2"/>
      <c r="G20" s="96" t="str">
        <f t="shared" si="0"/>
        <v>Eligible</v>
      </c>
      <c r="H20" s="96" t="str">
        <f t="shared" ca="1" si="1"/>
        <v>Not Available</v>
      </c>
      <c r="I20" s="2"/>
      <c r="J20" s="2"/>
      <c r="K20" s="2"/>
      <c r="L20" s="2"/>
      <c r="M20" s="2"/>
      <c r="N20" s="2"/>
      <c r="O20" s="2"/>
      <c r="P20" s="2"/>
      <c r="Q20" s="2"/>
      <c r="R20" s="2"/>
      <c r="S20" s="2"/>
      <c r="T20" s="2"/>
      <c r="U20" s="2"/>
      <c r="V20" s="2"/>
      <c r="W20" s="2"/>
      <c r="X20" s="2"/>
      <c r="Y20" s="2"/>
    </row>
    <row r="21" spans="1:25" ht="15.75" customHeight="1" x14ac:dyDescent="0.3">
      <c r="A21" s="93">
        <v>3020</v>
      </c>
      <c r="B21" s="93" t="s">
        <v>126</v>
      </c>
      <c r="C21" s="93" t="s">
        <v>113</v>
      </c>
      <c r="D21" s="93">
        <v>99924</v>
      </c>
      <c r="E21" s="94">
        <v>46755</v>
      </c>
      <c r="F21" s="2"/>
      <c r="G21" s="96" t="str">
        <f t="shared" si="0"/>
        <v>Eligible</v>
      </c>
      <c r="H21" s="96" t="str">
        <f t="shared" ca="1" si="1"/>
        <v>Not Available</v>
      </c>
      <c r="I21" s="2"/>
      <c r="J21" s="2"/>
      <c r="K21" s="2"/>
      <c r="L21" s="2"/>
      <c r="M21" s="2"/>
      <c r="N21" s="2"/>
      <c r="O21" s="2"/>
      <c r="P21" s="2"/>
      <c r="Q21" s="2"/>
      <c r="R21" s="2"/>
      <c r="S21" s="2"/>
      <c r="T21" s="2"/>
      <c r="U21" s="2"/>
      <c r="V21" s="2"/>
      <c r="W21" s="2"/>
      <c r="X21" s="2"/>
      <c r="Y21" s="2"/>
    </row>
    <row r="22" spans="1:25" ht="15.75" customHeight="1" thickBot="1" x14ac:dyDescent="0.35">
      <c r="A22" s="2"/>
      <c r="B22" s="2"/>
      <c r="C22" s="2"/>
      <c r="D22" s="2"/>
      <c r="E22" s="2"/>
      <c r="F22" s="2"/>
      <c r="G22" s="2"/>
      <c r="H22" s="2"/>
      <c r="I22" s="2"/>
      <c r="J22" s="2"/>
      <c r="K22" s="2"/>
      <c r="L22" s="2"/>
      <c r="M22" s="2"/>
      <c r="N22" s="2"/>
      <c r="O22" s="2"/>
      <c r="P22" s="2"/>
      <c r="Q22" s="2"/>
      <c r="R22" s="2"/>
      <c r="S22" s="2"/>
      <c r="T22" s="2"/>
      <c r="U22" s="2"/>
      <c r="V22" s="2"/>
      <c r="W22" s="2"/>
      <c r="X22" s="2"/>
      <c r="Y22" s="2"/>
    </row>
    <row r="23" spans="1:25" ht="31.8" customHeight="1" x14ac:dyDescent="0.3">
      <c r="A23" s="102" t="s">
        <v>175</v>
      </c>
      <c r="B23" s="103"/>
      <c r="C23" s="2"/>
      <c r="D23" s="97" t="s">
        <v>174</v>
      </c>
      <c r="E23" s="98"/>
      <c r="F23" s="2"/>
      <c r="G23" s="102" t="s">
        <v>173</v>
      </c>
      <c r="H23" s="103"/>
      <c r="I23" s="2"/>
      <c r="J23" s="9"/>
      <c r="K23" s="9"/>
      <c r="L23" s="9"/>
      <c r="M23" s="9"/>
      <c r="N23" s="9"/>
      <c r="O23" s="2"/>
      <c r="P23" s="2"/>
      <c r="Q23" s="2"/>
      <c r="R23" s="2"/>
      <c r="S23" s="2"/>
      <c r="T23" s="2"/>
      <c r="U23" s="2"/>
      <c r="V23" s="2"/>
      <c r="W23" s="2"/>
      <c r="X23" s="2"/>
      <c r="Y23" s="2"/>
    </row>
    <row r="24" spans="1:25" ht="15.75" customHeight="1" x14ac:dyDescent="0.3">
      <c r="A24" s="100" t="s">
        <v>163</v>
      </c>
      <c r="B24" s="46">
        <v>3002</v>
      </c>
      <c r="C24" s="2"/>
      <c r="D24" s="99" t="s">
        <v>104</v>
      </c>
      <c r="E24" s="46">
        <f>COUNTIFS($C$2:$C$21, D24, $D$2:$D$21, "&gt;50000")</f>
        <v>4</v>
      </c>
      <c r="F24" s="2"/>
      <c r="G24" s="99" t="s">
        <v>104</v>
      </c>
      <c r="H24" s="74">
        <f>SUMIFS($D$2:$D$21, $C$2:$C$21, G24)</f>
        <v>485714</v>
      </c>
      <c r="I24" s="6" t="s">
        <v>166</v>
      </c>
      <c r="J24" s="9"/>
      <c r="K24" s="9"/>
      <c r="L24" s="9"/>
      <c r="M24" s="9"/>
      <c r="N24" s="9"/>
      <c r="O24" s="2"/>
      <c r="P24" s="2"/>
      <c r="Q24" s="2"/>
      <c r="R24" s="2"/>
      <c r="S24" s="2"/>
      <c r="T24" s="2"/>
      <c r="U24" s="2"/>
      <c r="V24" s="2"/>
      <c r="W24" s="2"/>
      <c r="X24" s="2"/>
      <c r="Y24" s="2"/>
    </row>
    <row r="25" spans="1:25" ht="15.75" customHeight="1" x14ac:dyDescent="0.3">
      <c r="A25" s="104" t="s">
        <v>160</v>
      </c>
      <c r="B25" s="46" t="str">
        <f>INDEX(B2:B20, MATCH($B$24, A2:A20, 0))</f>
        <v>Employee 2</v>
      </c>
      <c r="C25" s="2"/>
      <c r="D25" s="100" t="s">
        <v>165</v>
      </c>
      <c r="E25" s="46">
        <f t="shared" ref="E25:E27" si="2">COUNTIFS($C$2:$C$21, D25, $D$2:$D$21, "&gt;50000")</f>
        <v>5</v>
      </c>
      <c r="F25" s="2"/>
      <c r="G25" s="100" t="s">
        <v>165</v>
      </c>
      <c r="H25" s="74">
        <f t="shared" ref="H25:H27" si="3">SUMIFS($D$2:$D$21, $C$2:$C$21, G25)</f>
        <v>417713</v>
      </c>
      <c r="I25" s="2"/>
      <c r="J25" s="9"/>
      <c r="K25" s="9"/>
      <c r="L25" s="9"/>
      <c r="M25" s="9"/>
      <c r="N25" s="9"/>
      <c r="O25" s="2"/>
      <c r="P25" s="2"/>
      <c r="Q25" s="2"/>
      <c r="R25" s="2"/>
      <c r="S25" s="2"/>
      <c r="T25" s="2"/>
      <c r="U25" s="2"/>
      <c r="V25" s="2"/>
      <c r="W25" s="2"/>
      <c r="X25" s="2"/>
      <c r="Y25" s="2"/>
    </row>
    <row r="26" spans="1:25" ht="15.75" customHeight="1" x14ac:dyDescent="0.3">
      <c r="A26" s="100" t="s">
        <v>161</v>
      </c>
      <c r="B26" s="46" t="e">
        <f ca="1">_xlfn.XLOOKUP(B24, A2:A100, D2:D100, "Not Found")</f>
        <v>#NAME?</v>
      </c>
      <c r="C26" s="2"/>
      <c r="D26" s="100" t="s">
        <v>113</v>
      </c>
      <c r="E26" s="46">
        <f t="shared" si="2"/>
        <v>2</v>
      </c>
      <c r="F26" s="2"/>
      <c r="G26" s="100" t="s">
        <v>113</v>
      </c>
      <c r="H26" s="74">
        <f t="shared" si="3"/>
        <v>252167</v>
      </c>
      <c r="I26" s="2"/>
      <c r="J26" s="2"/>
      <c r="K26" s="2"/>
      <c r="L26" s="2"/>
      <c r="M26" s="2"/>
      <c r="N26" s="2"/>
      <c r="O26" s="2"/>
      <c r="P26" s="2"/>
      <c r="Q26" s="2"/>
      <c r="R26" s="2"/>
      <c r="S26" s="2"/>
      <c r="T26" s="2"/>
      <c r="U26" s="2"/>
      <c r="V26" s="2"/>
      <c r="W26" s="2"/>
      <c r="X26" s="2"/>
      <c r="Y26" s="2"/>
    </row>
    <row r="27" spans="1:25" ht="15.75" customHeight="1" thickBot="1" x14ac:dyDescent="0.35">
      <c r="A27" s="101" t="s">
        <v>162</v>
      </c>
      <c r="B27" s="48" t="str">
        <f>INDEX(C2:C22, MATCH($B$24, A2:A22, 0))</f>
        <v>Finance</v>
      </c>
      <c r="C27" s="2"/>
      <c r="D27" s="101" t="s">
        <v>110</v>
      </c>
      <c r="E27" s="48">
        <f t="shared" si="2"/>
        <v>5</v>
      </c>
      <c r="F27" s="2"/>
      <c r="G27" s="101" t="s">
        <v>110</v>
      </c>
      <c r="H27" s="76">
        <f t="shared" si="3"/>
        <v>431204</v>
      </c>
      <c r="I27" s="2"/>
      <c r="J27" s="2"/>
      <c r="K27" s="2"/>
      <c r="L27" s="2"/>
      <c r="M27" s="2"/>
      <c r="N27" s="2"/>
      <c r="O27" s="2"/>
      <c r="P27" s="2"/>
      <c r="Q27" s="2"/>
      <c r="R27" s="2"/>
      <c r="S27" s="2"/>
      <c r="T27" s="2"/>
      <c r="U27" s="2"/>
      <c r="V27" s="2"/>
      <c r="W27" s="2"/>
      <c r="X27" s="2"/>
      <c r="Y27" s="2"/>
    </row>
    <row r="28" spans="1:25" ht="15.75" customHeight="1" x14ac:dyDescent="0.3">
      <c r="A28" s="5"/>
      <c r="B28" s="5"/>
      <c r="C28" s="2"/>
      <c r="D28" s="2"/>
      <c r="E28" s="2"/>
      <c r="F28" s="2"/>
      <c r="G28" s="2"/>
      <c r="H28" s="2"/>
      <c r="I28" s="2"/>
      <c r="J28" s="2"/>
      <c r="K28" s="2"/>
      <c r="L28" s="2"/>
      <c r="M28" s="2"/>
      <c r="N28" s="2"/>
      <c r="O28" s="2"/>
      <c r="P28" s="2"/>
      <c r="Q28" s="2"/>
      <c r="R28" s="2"/>
      <c r="S28" s="2"/>
      <c r="T28" s="2"/>
      <c r="U28" s="2"/>
      <c r="V28" s="2"/>
      <c r="W28" s="2"/>
      <c r="X28" s="2"/>
      <c r="Y28" s="2"/>
    </row>
    <row r="29" spans="1:25"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row>
    <row r="53" spans="1:25"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row>
    <row r="54" spans="1:25"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row>
    <row r="55" spans="1:25"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row>
    <row r="56" spans="1:25"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row>
    <row r="57" spans="1:25"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row>
    <row r="58" spans="1:25"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row>
    <row r="65" spans="1:25"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row>
    <row r="66" spans="1:25"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row>
    <row r="67" spans="1:25"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row>
    <row r="68" spans="1:25"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row>
    <row r="69" spans="1:25"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mergeCells count="3">
    <mergeCell ref="A23:B23"/>
    <mergeCell ref="D23:E23"/>
    <mergeCell ref="G23:H23"/>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Project Instructions</vt:lpstr>
      <vt:lpstr>Students (Grade)</vt:lpstr>
      <vt:lpstr>Sales(Data)</vt:lpstr>
      <vt:lpstr>Vlookup Refference</vt:lpstr>
      <vt:lpstr>Employee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Rajvi Trivedi</cp:lastModifiedBy>
  <dcterms:created xsi:type="dcterms:W3CDTF">2025-12-12T16:32:02Z</dcterms:created>
  <dcterms:modified xsi:type="dcterms:W3CDTF">2025-12-14T06:40:42Z</dcterms:modified>
</cp:coreProperties>
</file>